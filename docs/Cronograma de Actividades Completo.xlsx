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13_ncr:1_{8C161AB0-EF21-495F-8FBB-E163BF6A803C}" xr6:coauthVersionLast="47" xr6:coauthVersionMax="47" xr10:uidLastSave="{00000000-0000-0000-0000-000000000000}"/>
  <bookViews>
    <workbookView xWindow="-120" yWindow="-120" windowWidth="20730" windowHeight="11040" tabRatio="415" xr2:uid="{00000000-000D-0000-FFFF-FFFF00000000}"/>
  </bookViews>
  <sheets>
    <sheet name="Color" sheetId="18" r:id="rId1"/>
  </sheets>
  <definedNames>
    <definedName name="Hoy" localSheetId="0">TODAY()</definedName>
    <definedName name="Incremento_de_desplazamiento" localSheetId="0">Color!$C$8</definedName>
    <definedName name="Inicio_del_proyecto" localSheetId="0">Color!$C$7</definedName>
    <definedName name="_xlnm.Print_Titles" localSheetId="0">Color!$7:$10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7" i="18" l="1"/>
  <c r="E58" i="18"/>
  <c r="E47" i="18"/>
  <c r="E26" i="18"/>
  <c r="E12" i="18"/>
  <c r="F8" i="18" l="1"/>
  <c r="K8" i="18"/>
  <c r="K76" i="18" l="1"/>
  <c r="K71" i="18"/>
  <c r="K69" i="18"/>
  <c r="K67" i="18"/>
  <c r="K77" i="18"/>
  <c r="K72" i="18"/>
  <c r="K78" i="18"/>
  <c r="K74" i="18"/>
  <c r="K75" i="18"/>
  <c r="K41" i="18"/>
  <c r="K66" i="18"/>
  <c r="K65" i="18"/>
  <c r="K62" i="18"/>
  <c r="K60" i="18"/>
  <c r="K58" i="18"/>
  <c r="K64" i="18"/>
  <c r="K63" i="18"/>
  <c r="K61" i="18"/>
  <c r="K59" i="18"/>
  <c r="K46" i="18"/>
  <c r="K50" i="18"/>
  <c r="K30" i="18"/>
  <c r="K29" i="18"/>
  <c r="K10" i="18"/>
  <c r="K19" i="18"/>
  <c r="K33" i="18"/>
  <c r="K39" i="18"/>
  <c r="K20" i="18"/>
  <c r="K49" i="18"/>
  <c r="K38" i="18"/>
  <c r="K51" i="18"/>
  <c r="K12" i="18"/>
  <c r="K7" i="18"/>
  <c r="K31" i="18"/>
  <c r="K21" i="18"/>
  <c r="L8" i="18"/>
  <c r="K57" i="18"/>
  <c r="K48" i="18"/>
  <c r="K26" i="18"/>
  <c r="K37" i="18"/>
  <c r="K47" i="18"/>
  <c r="K27" i="18"/>
  <c r="K42" i="18"/>
  <c r="L78" i="18" l="1"/>
  <c r="L77" i="18"/>
  <c r="L76" i="18"/>
  <c r="L75" i="18"/>
  <c r="L74" i="18"/>
  <c r="L72" i="18"/>
  <c r="L71" i="18"/>
  <c r="L69" i="18"/>
  <c r="L67" i="18"/>
  <c r="L51" i="18"/>
  <c r="L60" i="18"/>
  <c r="L66" i="18"/>
  <c r="L65" i="18"/>
  <c r="L64" i="18"/>
  <c r="L63" i="18"/>
  <c r="L62" i="18"/>
  <c r="L61" i="18"/>
  <c r="L59" i="18"/>
  <c r="L58" i="18"/>
  <c r="L42" i="18"/>
  <c r="L10" i="18"/>
  <c r="L39" i="18"/>
  <c r="L31" i="18"/>
  <c r="L48" i="18"/>
  <c r="L29" i="18"/>
  <c r="L26" i="18"/>
  <c r="L30" i="18"/>
  <c r="L33" i="18"/>
  <c r="L50" i="18"/>
  <c r="M8" i="18"/>
  <c r="L37" i="18"/>
  <c r="L38" i="18"/>
  <c r="L12" i="18"/>
  <c r="L46" i="18"/>
  <c r="L21" i="18"/>
  <c r="L20" i="18"/>
  <c r="L57" i="18"/>
  <c r="L27" i="18"/>
  <c r="L47" i="18"/>
  <c r="L41" i="18"/>
  <c r="L49" i="18"/>
  <c r="L19" i="18"/>
  <c r="M77" i="18" l="1"/>
  <c r="M72" i="18"/>
  <c r="M78" i="18"/>
  <c r="M74" i="18"/>
  <c r="M69" i="18"/>
  <c r="M76" i="18"/>
  <c r="M71" i="18"/>
  <c r="M75" i="18"/>
  <c r="M67" i="18"/>
  <c r="M51" i="18"/>
  <c r="M60" i="18"/>
  <c r="M58" i="18"/>
  <c r="M66" i="18"/>
  <c r="M65" i="18"/>
  <c r="M64" i="18"/>
  <c r="M63" i="18"/>
  <c r="M62" i="18"/>
  <c r="M61" i="18"/>
  <c r="M59" i="18"/>
  <c r="M27" i="18"/>
  <c r="M50" i="18"/>
  <c r="M33" i="18"/>
  <c r="M10" i="18"/>
  <c r="M46" i="18"/>
  <c r="M37" i="18"/>
  <c r="M12" i="18"/>
  <c r="M21" i="18"/>
  <c r="M48" i="18"/>
  <c r="M39" i="18"/>
  <c r="M47" i="18"/>
  <c r="M38" i="18"/>
  <c r="M49" i="18"/>
  <c r="M29" i="18"/>
  <c r="M30" i="18"/>
  <c r="M26" i="18"/>
  <c r="M31" i="18"/>
  <c r="M19" i="18"/>
  <c r="M41" i="18"/>
  <c r="N8" i="18"/>
  <c r="M57" i="18"/>
  <c r="M20" i="18"/>
  <c r="M42" i="18"/>
  <c r="N78" i="18" l="1"/>
  <c r="N77" i="18"/>
  <c r="N76" i="18"/>
  <c r="N75" i="18"/>
  <c r="N74" i="18"/>
  <c r="N72" i="18"/>
  <c r="N71" i="18"/>
  <c r="N69" i="18"/>
  <c r="N67" i="18"/>
  <c r="N66" i="18"/>
  <c r="N65" i="18"/>
  <c r="N64" i="18"/>
  <c r="N63" i="18"/>
  <c r="N62" i="18"/>
  <c r="N61" i="18"/>
  <c r="N60" i="18"/>
  <c r="N59" i="18"/>
  <c r="N58" i="18"/>
  <c r="N20" i="18"/>
  <c r="N46" i="18"/>
  <c r="N19" i="18"/>
  <c r="N42" i="18"/>
  <c r="N21" i="18"/>
  <c r="N10" i="18"/>
  <c r="N37" i="18"/>
  <c r="N57" i="18"/>
  <c r="N48" i="18"/>
  <c r="N26" i="18"/>
  <c r="N27" i="18"/>
  <c r="N51" i="18"/>
  <c r="N29" i="18"/>
  <c r="N30" i="18"/>
  <c r="N49" i="18"/>
  <c r="N41" i="18"/>
  <c r="N33" i="18"/>
  <c r="N39" i="18"/>
  <c r="N12" i="18"/>
  <c r="N47" i="18"/>
  <c r="N31" i="18"/>
  <c r="N38" i="18"/>
  <c r="O8" i="18"/>
  <c r="N50" i="18"/>
  <c r="O78" i="18" l="1"/>
  <c r="O77" i="18"/>
  <c r="O76" i="18"/>
  <c r="O75" i="18"/>
  <c r="O74" i="18"/>
  <c r="O72" i="18"/>
  <c r="O71" i="18"/>
  <c r="O69" i="18"/>
  <c r="O67" i="18"/>
  <c r="O49" i="18"/>
  <c r="O66" i="18"/>
  <c r="O65" i="18"/>
  <c r="O64" i="18"/>
  <c r="O63" i="18"/>
  <c r="O62" i="18"/>
  <c r="O61" i="18"/>
  <c r="O60" i="18"/>
  <c r="O59" i="18"/>
  <c r="O58" i="18"/>
  <c r="O21" i="18"/>
  <c r="O47" i="18"/>
  <c r="O20" i="18"/>
  <c r="O38" i="18"/>
  <c r="O42" i="18"/>
  <c r="O26" i="18"/>
  <c r="P8" i="18"/>
  <c r="O10" i="18"/>
  <c r="O48" i="18"/>
  <c r="O46" i="18"/>
  <c r="O41" i="18"/>
  <c r="O50" i="18"/>
  <c r="O39" i="18"/>
  <c r="O31" i="18"/>
  <c r="O33" i="18"/>
  <c r="O30" i="18"/>
  <c r="O57" i="18"/>
  <c r="O19" i="18"/>
  <c r="O27" i="18"/>
  <c r="O29" i="18"/>
  <c r="O37" i="18"/>
  <c r="O12" i="18"/>
  <c r="O51" i="18"/>
  <c r="P78" i="18" l="1"/>
  <c r="P77" i="18"/>
  <c r="P76" i="18"/>
  <c r="P75" i="18"/>
  <c r="P74" i="18"/>
  <c r="P72" i="18"/>
  <c r="P71" i="18"/>
  <c r="P69" i="18"/>
  <c r="P67" i="18"/>
  <c r="P65" i="18"/>
  <c r="P64" i="18"/>
  <c r="P63" i="18"/>
  <c r="P59" i="18"/>
  <c r="P66" i="18"/>
  <c r="P62" i="18"/>
  <c r="P61" i="18"/>
  <c r="P60" i="18"/>
  <c r="P58" i="18"/>
  <c r="P20" i="18"/>
  <c r="Q8" i="18"/>
  <c r="P19" i="18"/>
  <c r="P27" i="18"/>
  <c r="P41" i="18"/>
  <c r="P39" i="18"/>
  <c r="P48" i="18"/>
  <c r="P30" i="18"/>
  <c r="P12" i="18"/>
  <c r="P51" i="18"/>
  <c r="P57" i="18"/>
  <c r="P42" i="18"/>
  <c r="P47" i="18"/>
  <c r="P38" i="18"/>
  <c r="P49" i="18"/>
  <c r="P10" i="18"/>
  <c r="P33" i="18"/>
  <c r="P46" i="18"/>
  <c r="P37" i="18"/>
  <c r="P50" i="18"/>
  <c r="P31" i="18"/>
  <c r="P26" i="18"/>
  <c r="P29" i="18"/>
  <c r="P21" i="18"/>
  <c r="Q78" i="18" l="1"/>
  <c r="Q77" i="18"/>
  <c r="Q76" i="18"/>
  <c r="Q75" i="18"/>
  <c r="Q74" i="18"/>
  <c r="Q72" i="18"/>
  <c r="Q71" i="18"/>
  <c r="Q69" i="18"/>
  <c r="Q67" i="18"/>
  <c r="Q37" i="18"/>
  <c r="Q61" i="18"/>
  <c r="Q60" i="18"/>
  <c r="Q66" i="18"/>
  <c r="Q65" i="18"/>
  <c r="Q64" i="18"/>
  <c r="Q63" i="18"/>
  <c r="Q62" i="18"/>
  <c r="Q59" i="18"/>
  <c r="Q58" i="18"/>
  <c r="Q50" i="18"/>
  <c r="Q20" i="18"/>
  <c r="Q12" i="18"/>
  <c r="Q21" i="18"/>
  <c r="Q48" i="18"/>
  <c r="Q47" i="18"/>
  <c r="Q27" i="18"/>
  <c r="Q41" i="18"/>
  <c r="Q33" i="18"/>
  <c r="Q10" i="18"/>
  <c r="Q26" i="18"/>
  <c r="Q51" i="18"/>
  <c r="Q19" i="18"/>
  <c r="Q30" i="18"/>
  <c r="Q31" i="18"/>
  <c r="Q57" i="18"/>
  <c r="Q29" i="18"/>
  <c r="Q22" i="18"/>
  <c r="R8" i="18"/>
  <c r="Q49" i="18"/>
  <c r="Q42" i="18"/>
  <c r="Q46" i="18"/>
  <c r="Q38" i="18"/>
  <c r="Q39" i="18"/>
  <c r="R78" i="18" l="1"/>
  <c r="R77" i="18"/>
  <c r="R76" i="18"/>
  <c r="R75" i="18"/>
  <c r="R74" i="18"/>
  <c r="R72" i="18"/>
  <c r="R71" i="18"/>
  <c r="R69" i="18"/>
  <c r="R67" i="18"/>
  <c r="R51" i="18"/>
  <c r="R66" i="18"/>
  <c r="R65" i="18"/>
  <c r="R64" i="18"/>
  <c r="R63" i="18"/>
  <c r="R62" i="18"/>
  <c r="R61" i="18"/>
  <c r="R60" i="18"/>
  <c r="R59" i="18"/>
  <c r="R58" i="18"/>
  <c r="R19" i="18"/>
  <c r="R29" i="18"/>
  <c r="R21" i="18"/>
  <c r="R42" i="18"/>
  <c r="R31" i="18"/>
  <c r="R50" i="18"/>
  <c r="R37" i="18"/>
  <c r="R30" i="18"/>
  <c r="R20" i="18"/>
  <c r="R39" i="18"/>
  <c r="R10" i="18"/>
  <c r="R38" i="18"/>
  <c r="R48" i="18"/>
  <c r="R27" i="18"/>
  <c r="R47" i="18"/>
  <c r="R26" i="18"/>
  <c r="R46" i="18"/>
  <c r="S8" i="18"/>
  <c r="R57" i="18"/>
  <c r="R12" i="18"/>
  <c r="R33" i="18"/>
  <c r="R7" i="18"/>
  <c r="R49" i="18"/>
  <c r="R41" i="18"/>
  <c r="S77" i="18" l="1"/>
  <c r="S72" i="18"/>
  <c r="S69" i="18"/>
  <c r="S67" i="18"/>
  <c r="S78" i="18"/>
  <c r="S74" i="18"/>
  <c r="S75" i="18"/>
  <c r="S76" i="18"/>
  <c r="S71" i="18"/>
  <c r="S57" i="18"/>
  <c r="S65" i="18"/>
  <c r="S64" i="18"/>
  <c r="S63" i="18"/>
  <c r="S61" i="18"/>
  <c r="S59" i="18"/>
  <c r="S66" i="18"/>
  <c r="S62" i="18"/>
  <c r="S60" i="18"/>
  <c r="S58" i="18"/>
  <c r="S42" i="18"/>
  <c r="S12" i="18"/>
  <c r="S27" i="18"/>
  <c r="S21" i="18"/>
  <c r="T8" i="18"/>
  <c r="S20" i="18"/>
  <c r="S51" i="18"/>
  <c r="S33" i="18"/>
  <c r="S31" i="18"/>
  <c r="S26" i="18"/>
  <c r="S10" i="18"/>
  <c r="S41" i="18"/>
  <c r="S39" i="18"/>
  <c r="S48" i="18"/>
  <c r="S50" i="18"/>
  <c r="S38" i="18"/>
  <c r="S49" i="18"/>
  <c r="S37" i="18"/>
  <c r="S19" i="18"/>
  <c r="S46" i="18"/>
  <c r="S29" i="18"/>
  <c r="S47" i="18"/>
  <c r="S30" i="18"/>
  <c r="T78" i="18" l="1"/>
  <c r="T77" i="18"/>
  <c r="T76" i="18"/>
  <c r="T75" i="18"/>
  <c r="T74" i="18"/>
  <c r="T72" i="18"/>
  <c r="T71" i="18"/>
  <c r="T67" i="18"/>
  <c r="T69" i="18"/>
  <c r="T57" i="18"/>
  <c r="T60" i="18"/>
  <c r="T59" i="18"/>
  <c r="T66" i="18"/>
  <c r="T65" i="18"/>
  <c r="T64" i="18"/>
  <c r="T63" i="18"/>
  <c r="T62" i="18"/>
  <c r="T61" i="18"/>
  <c r="T58" i="18"/>
  <c r="T42" i="18"/>
  <c r="T33" i="18"/>
  <c r="T51" i="18"/>
  <c r="T46" i="18"/>
  <c r="T47" i="18"/>
  <c r="T41" i="18"/>
  <c r="T21" i="18"/>
  <c r="T27" i="18"/>
  <c r="T48" i="18"/>
  <c r="T37" i="18"/>
  <c r="T50" i="18"/>
  <c r="T39" i="18"/>
  <c r="T10" i="18"/>
  <c r="T49" i="18"/>
  <c r="T26" i="18"/>
  <c r="T30" i="18"/>
  <c r="T29" i="18"/>
  <c r="T38" i="18"/>
  <c r="T31" i="18"/>
  <c r="T20" i="18"/>
  <c r="U8" i="18"/>
  <c r="T19" i="18"/>
  <c r="T12" i="18"/>
  <c r="U77" i="18" l="1"/>
  <c r="U78" i="18"/>
  <c r="U74" i="18"/>
  <c r="U75" i="18"/>
  <c r="U67" i="18"/>
  <c r="U76" i="18"/>
  <c r="U71" i="18"/>
  <c r="U69" i="18"/>
  <c r="U72" i="18"/>
  <c r="U61" i="18"/>
  <c r="U59" i="18"/>
  <c r="U66" i="18"/>
  <c r="U65" i="18"/>
  <c r="U64" i="18"/>
  <c r="U63" i="18"/>
  <c r="U62" i="18"/>
  <c r="U60" i="18"/>
  <c r="U58" i="18"/>
  <c r="U20" i="18"/>
  <c r="U57" i="18"/>
  <c r="U42" i="18"/>
  <c r="U27" i="18"/>
  <c r="U41" i="18"/>
  <c r="U49" i="18"/>
  <c r="U51" i="18"/>
  <c r="U46" i="18"/>
  <c r="U31" i="18"/>
  <c r="U47" i="18"/>
  <c r="U48" i="18"/>
  <c r="U30" i="18"/>
  <c r="U10" i="18"/>
  <c r="U50" i="18"/>
  <c r="U33" i="18"/>
  <c r="V8" i="18"/>
  <c r="U37" i="18"/>
  <c r="U21" i="18"/>
  <c r="U26" i="18"/>
  <c r="U19" i="18"/>
  <c r="U38" i="18"/>
  <c r="U29" i="18"/>
  <c r="U12" i="18"/>
  <c r="U39" i="18"/>
  <c r="V78" i="18" l="1"/>
  <c r="V77" i="18"/>
  <c r="V76" i="18"/>
  <c r="V75" i="18"/>
  <c r="V74" i="18"/>
  <c r="V72" i="18"/>
  <c r="V71" i="18"/>
  <c r="V69" i="18"/>
  <c r="V67" i="18"/>
  <c r="V50" i="18"/>
  <c r="V66" i="18"/>
  <c r="V65" i="18"/>
  <c r="V64" i="18"/>
  <c r="V63" i="18"/>
  <c r="V62" i="18"/>
  <c r="V61" i="18"/>
  <c r="V60" i="18"/>
  <c r="V59" i="18"/>
  <c r="V58" i="18"/>
  <c r="V29" i="18"/>
  <c r="V33" i="18"/>
  <c r="V48" i="18"/>
  <c r="V30" i="18"/>
  <c r="V39" i="18"/>
  <c r="V38" i="18"/>
  <c r="V10" i="18"/>
  <c r="V20" i="18"/>
  <c r="V26" i="18"/>
  <c r="V12" i="18"/>
  <c r="V21" i="18"/>
  <c r="V31" i="18"/>
  <c r="V57" i="18"/>
  <c r="V46" i="18"/>
  <c r="V19" i="18"/>
  <c r="V37" i="18"/>
  <c r="V42" i="18"/>
  <c r="W8" i="18"/>
  <c r="V49" i="18"/>
  <c r="V47" i="18"/>
  <c r="V51" i="18"/>
  <c r="V27" i="18"/>
  <c r="V41" i="18"/>
  <c r="W78" i="18" l="1"/>
  <c r="W77" i="18"/>
  <c r="W76" i="18"/>
  <c r="W75" i="18"/>
  <c r="W74" i="18"/>
  <c r="W72" i="18"/>
  <c r="W71" i="18"/>
  <c r="W69" i="18"/>
  <c r="W67" i="18"/>
  <c r="W50" i="18"/>
  <c r="W66" i="18"/>
  <c r="W65" i="18"/>
  <c r="W64" i="18"/>
  <c r="W63" i="18"/>
  <c r="W62" i="18"/>
  <c r="W61" i="18"/>
  <c r="W60" i="18"/>
  <c r="W59" i="18"/>
  <c r="W58" i="18"/>
  <c r="W33" i="18"/>
  <c r="W21" i="18"/>
  <c r="W47" i="18"/>
  <c r="W41" i="18"/>
  <c r="W42" i="18"/>
  <c r="W37" i="18"/>
  <c r="X8" i="18"/>
  <c r="W19" i="18"/>
  <c r="W51" i="18"/>
  <c r="W27" i="18"/>
  <c r="W48" i="18"/>
  <c r="W49" i="18"/>
  <c r="W46" i="18"/>
  <c r="W29" i="18"/>
  <c r="W38" i="18"/>
  <c r="W26" i="18"/>
  <c r="W31" i="18"/>
  <c r="W57" i="18"/>
  <c r="W20" i="18"/>
  <c r="W39" i="18"/>
  <c r="W30" i="18"/>
  <c r="W12" i="18"/>
  <c r="W10" i="18"/>
  <c r="X78" i="18" l="1"/>
  <c r="X77" i="18"/>
  <c r="X76" i="18"/>
  <c r="X75" i="18"/>
  <c r="X74" i="18"/>
  <c r="X72" i="18"/>
  <c r="X71" i="18"/>
  <c r="X69" i="18"/>
  <c r="X67" i="18"/>
  <c r="X50" i="18"/>
  <c r="X64" i="18"/>
  <c r="X63" i="18"/>
  <c r="X60" i="18"/>
  <c r="X59" i="18"/>
  <c r="X66" i="18"/>
  <c r="X62" i="18"/>
  <c r="X61" i="18"/>
  <c r="X58" i="18"/>
  <c r="X65" i="18"/>
  <c r="X49" i="18"/>
  <c r="X20" i="18"/>
  <c r="X38" i="18"/>
  <c r="X37" i="18"/>
  <c r="X19" i="18"/>
  <c r="X51" i="18"/>
  <c r="X47" i="18"/>
  <c r="X33" i="18"/>
  <c r="Y8" i="18"/>
  <c r="X46" i="18"/>
  <c r="X39" i="18"/>
  <c r="X12" i="18"/>
  <c r="X57" i="18"/>
  <c r="X48" i="18"/>
  <c r="X30" i="18"/>
  <c r="X41" i="18"/>
  <c r="X42" i="18"/>
  <c r="X27" i="18"/>
  <c r="X26" i="18"/>
  <c r="X29" i="18"/>
  <c r="X31" i="18"/>
  <c r="X21" i="18"/>
  <c r="X10" i="18"/>
  <c r="Y78" i="18" l="1"/>
  <c r="Y77" i="18"/>
  <c r="Y76" i="18"/>
  <c r="Y75" i="18"/>
  <c r="Y74" i="18"/>
  <c r="Y72" i="18"/>
  <c r="Y71" i="18"/>
  <c r="Y69" i="18"/>
  <c r="Y67" i="18"/>
  <c r="Y57" i="18"/>
  <c r="Y62" i="18"/>
  <c r="Y59" i="18"/>
  <c r="Y58" i="18"/>
  <c r="Y66" i="18"/>
  <c r="Y65" i="18"/>
  <c r="Y64" i="18"/>
  <c r="Y63" i="18"/>
  <c r="Y61" i="18"/>
  <c r="Y60" i="18"/>
  <c r="Y51" i="18"/>
  <c r="Y46" i="18"/>
  <c r="Y10" i="18"/>
  <c r="Y41" i="18"/>
  <c r="Y30" i="18"/>
  <c r="Y50" i="18"/>
  <c r="Y12" i="18"/>
  <c r="Y49" i="18"/>
  <c r="Y20" i="18"/>
  <c r="Y26" i="18"/>
  <c r="Y47" i="18"/>
  <c r="Y33" i="18"/>
  <c r="Y48" i="18"/>
  <c r="Y38" i="18"/>
  <c r="Y42" i="18"/>
  <c r="Y31" i="18"/>
  <c r="Y7" i="18"/>
  <c r="Y21" i="18"/>
  <c r="Y37" i="18"/>
  <c r="Y19" i="18"/>
  <c r="Y39" i="18"/>
  <c r="Y29" i="18"/>
  <c r="Z8" i="18"/>
  <c r="Y27" i="18"/>
  <c r="Z78" i="18" l="1"/>
  <c r="Z77" i="18"/>
  <c r="Z76" i="18"/>
  <c r="Z75" i="18"/>
  <c r="Z74" i="18"/>
  <c r="Z72" i="18"/>
  <c r="Z71" i="18"/>
  <c r="Z69" i="18"/>
  <c r="Z67" i="18"/>
  <c r="Z51" i="18"/>
  <c r="Z66" i="18"/>
  <c r="Z65" i="18"/>
  <c r="Z64" i="18"/>
  <c r="Z63" i="18"/>
  <c r="Z62" i="18"/>
  <c r="Z61" i="18"/>
  <c r="Z60" i="18"/>
  <c r="Z59" i="18"/>
  <c r="Z58" i="18"/>
  <c r="Z30" i="18"/>
  <c r="Z47" i="18"/>
  <c r="Z27" i="18"/>
  <c r="Z57" i="18"/>
  <c r="Z10" i="18"/>
  <c r="Z12" i="18"/>
  <c r="Z46" i="18"/>
  <c r="Z48" i="18"/>
  <c r="AA8" i="18"/>
  <c r="Z42" i="18"/>
  <c r="Z31" i="18"/>
  <c r="Z49" i="18"/>
  <c r="Z41" i="18"/>
  <c r="Z33" i="18"/>
  <c r="Z39" i="18"/>
  <c r="Z26" i="18"/>
  <c r="Z19" i="18"/>
  <c r="Z50" i="18"/>
  <c r="Z20" i="18"/>
  <c r="Z38" i="18"/>
  <c r="Z29" i="18"/>
  <c r="Z37" i="18"/>
  <c r="Z21" i="18"/>
  <c r="AA78" i="18" l="1"/>
  <c r="AA74" i="18"/>
  <c r="AA69" i="18"/>
  <c r="AA67" i="18"/>
  <c r="AA75" i="18"/>
  <c r="AA76" i="18"/>
  <c r="AA71" i="18"/>
  <c r="AA72" i="18"/>
  <c r="AA77" i="18"/>
  <c r="AA49" i="18"/>
  <c r="AA66" i="18"/>
  <c r="AA62" i="18"/>
  <c r="AA60" i="18"/>
  <c r="AA58" i="18"/>
  <c r="AA65" i="18"/>
  <c r="AA64" i="18"/>
  <c r="AA63" i="18"/>
  <c r="AA61" i="18"/>
  <c r="AA59" i="18"/>
  <c r="AA50" i="18"/>
  <c r="AA19" i="18"/>
  <c r="AA51" i="18"/>
  <c r="AA26" i="18"/>
  <c r="AA31" i="18"/>
  <c r="AA20" i="18"/>
  <c r="AA21" i="18"/>
  <c r="AA41" i="18"/>
  <c r="AA27" i="18"/>
  <c r="AA46" i="18"/>
  <c r="AA29" i="18"/>
  <c r="AA48" i="18"/>
  <c r="AB8" i="18"/>
  <c r="AA39" i="18"/>
  <c r="AA10" i="18"/>
  <c r="AA47" i="18"/>
  <c r="AA42" i="18"/>
  <c r="AA57" i="18"/>
  <c r="AA33" i="18"/>
  <c r="AA12" i="18"/>
  <c r="AA37" i="18"/>
  <c r="AA30" i="18"/>
  <c r="AA38" i="18"/>
  <c r="AB78" i="18" l="1"/>
  <c r="AB77" i="18"/>
  <c r="AB76" i="18"/>
  <c r="AB75" i="18"/>
  <c r="AB74" i="18"/>
  <c r="AB72" i="18"/>
  <c r="AB71" i="18"/>
  <c r="AB69" i="18"/>
  <c r="AB67" i="18"/>
  <c r="AB57" i="18"/>
  <c r="AB61" i="18"/>
  <c r="AB59" i="18"/>
  <c r="AB58" i="18"/>
  <c r="AB66" i="18"/>
  <c r="AB65" i="18"/>
  <c r="AB64" i="18"/>
  <c r="AB63" i="18"/>
  <c r="AB62" i="18"/>
  <c r="AB60" i="18"/>
  <c r="AB38" i="18"/>
  <c r="AB47" i="18"/>
  <c r="AB27" i="18"/>
  <c r="AB39" i="18"/>
  <c r="AB48" i="18"/>
  <c r="AB31" i="18"/>
  <c r="AB33" i="18"/>
  <c r="AB21" i="18"/>
  <c r="AB46" i="18"/>
  <c r="AB41" i="18"/>
  <c r="AB42" i="18"/>
  <c r="AB26" i="18"/>
  <c r="AB19" i="18"/>
  <c r="AB29" i="18"/>
  <c r="AB10" i="18"/>
  <c r="AB20" i="18"/>
  <c r="AC8" i="18"/>
  <c r="AB49" i="18"/>
  <c r="AB51" i="18"/>
  <c r="AB12" i="18"/>
  <c r="AB37" i="18"/>
  <c r="AB50" i="18"/>
  <c r="AB30" i="18"/>
  <c r="AC75" i="18" l="1"/>
  <c r="AC76" i="18"/>
  <c r="AC71" i="18"/>
  <c r="AC69" i="18"/>
  <c r="AC78" i="18"/>
  <c r="AC74" i="18"/>
  <c r="AC77" i="18"/>
  <c r="AC72" i="18"/>
  <c r="AC67" i="18"/>
  <c r="AC60" i="18"/>
  <c r="AC58" i="18"/>
  <c r="AC66" i="18"/>
  <c r="AC65" i="18"/>
  <c r="AC64" i="18"/>
  <c r="AC63" i="18"/>
  <c r="AC62" i="18"/>
  <c r="AC61" i="18"/>
  <c r="AC59" i="18"/>
  <c r="AC49" i="18"/>
  <c r="AC37" i="18"/>
  <c r="AC33" i="18"/>
  <c r="AC51" i="18"/>
  <c r="AC21" i="18"/>
  <c r="AC41" i="18"/>
  <c r="AC42" i="18"/>
  <c r="AC12" i="18"/>
  <c r="AC39" i="18"/>
  <c r="AC48" i="18"/>
  <c r="AC10" i="18"/>
  <c r="AC27" i="18"/>
  <c r="AC47" i="18"/>
  <c r="AC57" i="18"/>
  <c r="AC26" i="18"/>
  <c r="AC38" i="18"/>
  <c r="AC31" i="18"/>
  <c r="AC29" i="18"/>
  <c r="AD8" i="18"/>
  <c r="AC30" i="18"/>
  <c r="AC46" i="18"/>
  <c r="AC50" i="18"/>
  <c r="AC19" i="18"/>
  <c r="AC20" i="18"/>
  <c r="AD78" i="18" l="1"/>
  <c r="AD77" i="18"/>
  <c r="AD76" i="18"/>
  <c r="AD75" i="18"/>
  <c r="AD74" i="18"/>
  <c r="AD72" i="18"/>
  <c r="AD71" i="18"/>
  <c r="AD69" i="18"/>
  <c r="AD67" i="18"/>
  <c r="AD51" i="18"/>
  <c r="AD66" i="18"/>
  <c r="AD65" i="18"/>
  <c r="AD64" i="18"/>
  <c r="AD63" i="18"/>
  <c r="AD62" i="18"/>
  <c r="AD61" i="18"/>
  <c r="AD60" i="18"/>
  <c r="AD59" i="18"/>
  <c r="AD58" i="18"/>
  <c r="AD12" i="18"/>
  <c r="AD31" i="18"/>
  <c r="AD47" i="18"/>
  <c r="AD38" i="18"/>
  <c r="AD27" i="18"/>
  <c r="AE8" i="18"/>
  <c r="AD48" i="18"/>
  <c r="AD42" i="18"/>
  <c r="AD29" i="18"/>
  <c r="AD46" i="18"/>
  <c r="AD20" i="18"/>
  <c r="AD10" i="18"/>
  <c r="AD37" i="18"/>
  <c r="AD26" i="18"/>
  <c r="AD30" i="18"/>
  <c r="AD41" i="18"/>
  <c r="AD21" i="18"/>
  <c r="AD19" i="18"/>
  <c r="AD49" i="18"/>
  <c r="AD39" i="18"/>
  <c r="AD50" i="18"/>
  <c r="AD33" i="18"/>
  <c r="AD57" i="18"/>
  <c r="AE78" i="18" l="1"/>
  <c r="AE77" i="18"/>
  <c r="AE76" i="18"/>
  <c r="AE75" i="18"/>
  <c r="AE74" i="18"/>
  <c r="AE72" i="18"/>
  <c r="AE71" i="18"/>
  <c r="AE69" i="18"/>
  <c r="AE67" i="18"/>
  <c r="AE51" i="18"/>
  <c r="AE66" i="18"/>
  <c r="AE65" i="18"/>
  <c r="AE64" i="18"/>
  <c r="AE63" i="18"/>
  <c r="AE62" i="18"/>
  <c r="AE61" i="18"/>
  <c r="AE60" i="18"/>
  <c r="AE59" i="18"/>
  <c r="AE58" i="18"/>
  <c r="AE21" i="18"/>
  <c r="AE10" i="18"/>
  <c r="AE19" i="18"/>
  <c r="AE46" i="18"/>
  <c r="AE49" i="18"/>
  <c r="AE27" i="18"/>
  <c r="AE20" i="18"/>
  <c r="AE50" i="18"/>
  <c r="AE42" i="18"/>
  <c r="AE48" i="18"/>
  <c r="AE57" i="18"/>
  <c r="AE29" i="18"/>
  <c r="AE37" i="18"/>
  <c r="AE47" i="18"/>
  <c r="AE26" i="18"/>
  <c r="AE12" i="18"/>
  <c r="AE31" i="18"/>
  <c r="AE38" i="18"/>
  <c r="AE30" i="18"/>
  <c r="AE33" i="18"/>
  <c r="AF8" i="18"/>
  <c r="AE41" i="18"/>
  <c r="AE39" i="18"/>
  <c r="AF78" i="18" l="1"/>
  <c r="AF77" i="18"/>
  <c r="AF76" i="18"/>
  <c r="AF75" i="18"/>
  <c r="AF74" i="18"/>
  <c r="AF72" i="18"/>
  <c r="AF71" i="18"/>
  <c r="AF69" i="18"/>
  <c r="AF67" i="18"/>
  <c r="AF66" i="18"/>
  <c r="AF64" i="18"/>
  <c r="AF62" i="18"/>
  <c r="AF58" i="18"/>
  <c r="AF65" i="18"/>
  <c r="AF63" i="18"/>
  <c r="AF60" i="18"/>
  <c r="AF59" i="18"/>
  <c r="AF61" i="18"/>
  <c r="AF41" i="18"/>
  <c r="AF21" i="18"/>
  <c r="AF47" i="18"/>
  <c r="AF38" i="18"/>
  <c r="AG8" i="18"/>
  <c r="AF51" i="18"/>
  <c r="AF49" i="18"/>
  <c r="AF10" i="18"/>
  <c r="AF37" i="18"/>
  <c r="AF50" i="18"/>
  <c r="AF57" i="18"/>
  <c r="AF39" i="18"/>
  <c r="AF48" i="18"/>
  <c r="AF42" i="18"/>
  <c r="AF20" i="18"/>
  <c r="AF33" i="18"/>
  <c r="AF46" i="18"/>
  <c r="AF30" i="18"/>
  <c r="AF27" i="18"/>
  <c r="AF26" i="18"/>
  <c r="AF29" i="18"/>
  <c r="AF19" i="18"/>
  <c r="AF31" i="18"/>
  <c r="AF7" i="18"/>
  <c r="AF12" i="18"/>
  <c r="AG78" i="18" l="1"/>
  <c r="AG77" i="18"/>
  <c r="AG76" i="18"/>
  <c r="AG75" i="18"/>
  <c r="AG74" i="18"/>
  <c r="AG72" i="18"/>
  <c r="AG71" i="18"/>
  <c r="AG69" i="18"/>
  <c r="AG67" i="18"/>
  <c r="AG61" i="18"/>
  <c r="AG60" i="18"/>
  <c r="AG66" i="18"/>
  <c r="AG65" i="18"/>
  <c r="AG64" i="18"/>
  <c r="AG63" i="18"/>
  <c r="AG62" i="18"/>
  <c r="AG59" i="18"/>
  <c r="AG58" i="18"/>
  <c r="AG19" i="18"/>
  <c r="AG50" i="18"/>
  <c r="AG26" i="18"/>
  <c r="AG49" i="18"/>
  <c r="AG38" i="18"/>
  <c r="AG21" i="18"/>
  <c r="AG39" i="18"/>
  <c r="AG51" i="18"/>
  <c r="AG47" i="18"/>
  <c r="AG33" i="18"/>
  <c r="AG20" i="18"/>
  <c r="AG37" i="18"/>
  <c r="AG10" i="18"/>
  <c r="AG29" i="18"/>
  <c r="AG48" i="18"/>
  <c r="AG42" i="18"/>
  <c r="AG12" i="18"/>
  <c r="AG57" i="18"/>
  <c r="AG31" i="18"/>
  <c r="AG41" i="18"/>
  <c r="AG30" i="18"/>
  <c r="AH8" i="18"/>
  <c r="AG27" i="18"/>
  <c r="AG46" i="18"/>
  <c r="AH78" i="18" l="1"/>
  <c r="AH77" i="18"/>
  <c r="AH76" i="18"/>
  <c r="AH75" i="18"/>
  <c r="AH74" i="18"/>
  <c r="AH72" i="18"/>
  <c r="AH71" i="18"/>
  <c r="AH69" i="18"/>
  <c r="AH67" i="18"/>
  <c r="AH50" i="18"/>
  <c r="AH66" i="18"/>
  <c r="AH65" i="18"/>
  <c r="AH64" i="18"/>
  <c r="AH63" i="18"/>
  <c r="AH62" i="18"/>
  <c r="AH61" i="18"/>
  <c r="AH60" i="18"/>
  <c r="AH59" i="18"/>
  <c r="AH58" i="18"/>
  <c r="AH20" i="18"/>
  <c r="AH38" i="18"/>
  <c r="AH49" i="18"/>
  <c r="AH29" i="18"/>
  <c r="AH39" i="18"/>
  <c r="AH48" i="18"/>
  <c r="AH27" i="18"/>
  <c r="AH19" i="18"/>
  <c r="AH10" i="18"/>
  <c r="AH21" i="18"/>
  <c r="AH37" i="18"/>
  <c r="AH31" i="18"/>
  <c r="AH57" i="18"/>
  <c r="AH30" i="18"/>
  <c r="AH41" i="18"/>
  <c r="AH26" i="18"/>
  <c r="AH47" i="18"/>
  <c r="AH12" i="18"/>
  <c r="AI8" i="18"/>
  <c r="AH51" i="18"/>
  <c r="AH33" i="18"/>
  <c r="AH42" i="18"/>
  <c r="AH46" i="18"/>
  <c r="AI75" i="18" l="1"/>
  <c r="AI69" i="18"/>
  <c r="AI67" i="18"/>
  <c r="AI76" i="18"/>
  <c r="AI71" i="18"/>
  <c r="AI77" i="18"/>
  <c r="AI72" i="18"/>
  <c r="AI78" i="18"/>
  <c r="AI74" i="18"/>
  <c r="AI41" i="18"/>
  <c r="AI65" i="18"/>
  <c r="AI64" i="18"/>
  <c r="AI63" i="18"/>
  <c r="AI61" i="18"/>
  <c r="AI59" i="18"/>
  <c r="AI66" i="18"/>
  <c r="AI62" i="18"/>
  <c r="AI60" i="18"/>
  <c r="AI58" i="18"/>
  <c r="AI27" i="18"/>
  <c r="AI50" i="18"/>
  <c r="AI33" i="18"/>
  <c r="AI46" i="18"/>
  <c r="AI42" i="18"/>
  <c r="AI37" i="18"/>
  <c r="AI10" i="18"/>
  <c r="AI49" i="18"/>
  <c r="AI31" i="18"/>
  <c r="AI26" i="18"/>
  <c r="AI57" i="18"/>
  <c r="AI38" i="18"/>
  <c r="AI48" i="18"/>
  <c r="AI12" i="18"/>
  <c r="AJ8" i="18"/>
  <c r="AI21" i="18"/>
  <c r="AI30" i="18"/>
  <c r="AI47" i="18"/>
  <c r="AI39" i="18"/>
  <c r="AI29" i="18"/>
  <c r="AI51" i="18"/>
  <c r="AI19" i="18"/>
  <c r="AI20" i="18"/>
  <c r="AJ78" i="18" l="1"/>
  <c r="AJ77" i="18"/>
  <c r="AJ76" i="18"/>
  <c r="AJ75" i="18"/>
  <c r="AJ74" i="18"/>
  <c r="AJ72" i="18"/>
  <c r="AJ71" i="18"/>
  <c r="AJ69" i="18"/>
  <c r="AJ67" i="18"/>
  <c r="AJ60" i="18"/>
  <c r="AJ58" i="18"/>
  <c r="AJ66" i="18"/>
  <c r="AJ65" i="18"/>
  <c r="AJ64" i="18"/>
  <c r="AJ63" i="18"/>
  <c r="AJ62" i="18"/>
  <c r="AJ61" i="18"/>
  <c r="AJ59" i="18"/>
  <c r="AJ31" i="18"/>
  <c r="AJ51" i="18"/>
  <c r="AJ37" i="18"/>
  <c r="AJ12" i="18"/>
  <c r="AJ20" i="18"/>
  <c r="AJ10" i="18"/>
  <c r="AJ46" i="18"/>
  <c r="AJ50" i="18"/>
  <c r="AJ41" i="18"/>
  <c r="AK8" i="18"/>
  <c r="AJ21" i="18"/>
  <c r="AJ39" i="18"/>
  <c r="AJ57" i="18"/>
  <c r="AJ47" i="18"/>
  <c r="AJ48" i="18"/>
  <c r="AJ42" i="18"/>
  <c r="AJ33" i="18"/>
  <c r="AJ49" i="18"/>
  <c r="AJ38" i="18"/>
  <c r="AJ26" i="18"/>
  <c r="AJ27" i="18"/>
  <c r="AJ30" i="18"/>
  <c r="AJ29" i="18"/>
  <c r="AJ19" i="18"/>
  <c r="AK76" i="18" l="1"/>
  <c r="AK71" i="18"/>
  <c r="AK77" i="18"/>
  <c r="AK72" i="18"/>
  <c r="AK67" i="18"/>
  <c r="AK69" i="18"/>
  <c r="AK78" i="18"/>
  <c r="AK74" i="18"/>
  <c r="AK75" i="18"/>
  <c r="AK59" i="18"/>
  <c r="AK58" i="18"/>
  <c r="AK66" i="18"/>
  <c r="AK65" i="18"/>
  <c r="AK64" i="18"/>
  <c r="AK63" i="18"/>
  <c r="AK62" i="18"/>
  <c r="AK61" i="18"/>
  <c r="AK60" i="18"/>
  <c r="AK27" i="18"/>
  <c r="AK50" i="18"/>
  <c r="AK10" i="18"/>
  <c r="AK51" i="18"/>
  <c r="AK47" i="18"/>
  <c r="AK49" i="18"/>
  <c r="AK46" i="18"/>
  <c r="AK48" i="18"/>
  <c r="AK37" i="18"/>
  <c r="AK12" i="18"/>
  <c r="AK33" i="18"/>
  <c r="AK38" i="18"/>
  <c r="AK31" i="18"/>
  <c r="AK29" i="18"/>
  <c r="AK21" i="18"/>
  <c r="AK19" i="18"/>
  <c r="AK42" i="18"/>
  <c r="AK41" i="18"/>
  <c r="AK39" i="18"/>
  <c r="AK57" i="18"/>
  <c r="AK26" i="18"/>
  <c r="AK30" i="18"/>
  <c r="AL8" i="18"/>
  <c r="AK20" i="18"/>
  <c r="AL78" i="18" l="1"/>
  <c r="AL77" i="18"/>
  <c r="AL76" i="18"/>
  <c r="AL75" i="18"/>
  <c r="AL74" i="18"/>
  <c r="AL72" i="18"/>
  <c r="AL71" i="18"/>
  <c r="AL69" i="18"/>
  <c r="AL67" i="18"/>
  <c r="AL51" i="18"/>
  <c r="AL66" i="18"/>
  <c r="AL65" i="18"/>
  <c r="AL64" i="18"/>
  <c r="AL63" i="18"/>
  <c r="AL62" i="18"/>
  <c r="AL61" i="18"/>
  <c r="AL60" i="18"/>
  <c r="AL59" i="18"/>
  <c r="AL58" i="18"/>
  <c r="AL49" i="18"/>
  <c r="AL10" i="18"/>
  <c r="AL41" i="18"/>
  <c r="AL26" i="18"/>
  <c r="AL38" i="18"/>
  <c r="AL19" i="18"/>
  <c r="AL31" i="18"/>
  <c r="AL50" i="18"/>
  <c r="AM8" i="18"/>
  <c r="AL20" i="18"/>
  <c r="AL42" i="18"/>
  <c r="AL30" i="18"/>
  <c r="AL39" i="18"/>
  <c r="AL57" i="18"/>
  <c r="AL37" i="18"/>
  <c r="AL48" i="18"/>
  <c r="AL27" i="18"/>
  <c r="AL47" i="18"/>
  <c r="AL46" i="18"/>
  <c r="AL21" i="18"/>
  <c r="AL29" i="18"/>
  <c r="AL12" i="18"/>
  <c r="AL33" i="18"/>
  <c r="AM78" i="18" l="1"/>
  <c r="AM77" i="18"/>
  <c r="AM76" i="18"/>
  <c r="AM75" i="18"/>
  <c r="AM74" i="18"/>
  <c r="AM72" i="18"/>
  <c r="AM71" i="18"/>
  <c r="AM69" i="18"/>
  <c r="AM67" i="18"/>
  <c r="AM57" i="18"/>
  <c r="AM66" i="18"/>
  <c r="AM65" i="18"/>
  <c r="AM64" i="18"/>
  <c r="AM63" i="18"/>
  <c r="AM62" i="18"/>
  <c r="AM61" i="18"/>
  <c r="AM60" i="18"/>
  <c r="AM59" i="18"/>
  <c r="AM58" i="18"/>
  <c r="AM26" i="18"/>
  <c r="AM27" i="18"/>
  <c r="AM49" i="18"/>
  <c r="AM7" i="18"/>
  <c r="AM19" i="18"/>
  <c r="AM37" i="18"/>
  <c r="AM48" i="18"/>
  <c r="AM12" i="18"/>
  <c r="AN8" i="18"/>
  <c r="AM31" i="18"/>
  <c r="AM39" i="18"/>
  <c r="AM30" i="18"/>
  <c r="AM50" i="18"/>
  <c r="AM47" i="18"/>
  <c r="AM29" i="18"/>
  <c r="AM33" i="18"/>
  <c r="AM20" i="18"/>
  <c r="AM51" i="18"/>
  <c r="AM21" i="18"/>
  <c r="AM41" i="18"/>
  <c r="AM10" i="18"/>
  <c r="AM42" i="18"/>
  <c r="AM46" i="18"/>
  <c r="AM38" i="18"/>
  <c r="AN78" i="18" l="1"/>
  <c r="AN77" i="18"/>
  <c r="AN76" i="18"/>
  <c r="AN75" i="18"/>
  <c r="AN74" i="18"/>
  <c r="AN72" i="18"/>
  <c r="AN71" i="18"/>
  <c r="AN69" i="18"/>
  <c r="AN67" i="18"/>
  <c r="AN51" i="18"/>
  <c r="AN63" i="18"/>
  <c r="AN61" i="18"/>
  <c r="AN66" i="18"/>
  <c r="AN62" i="18"/>
  <c r="AN59" i="18"/>
  <c r="AN65" i="18"/>
  <c r="AN64" i="18"/>
  <c r="AN60" i="18"/>
  <c r="AN58" i="18"/>
  <c r="AN41" i="18"/>
  <c r="AN21" i="18"/>
  <c r="AN57" i="18"/>
  <c r="AN20" i="18"/>
  <c r="AN30" i="18"/>
  <c r="AN10" i="18"/>
  <c r="AN50" i="18"/>
  <c r="AN26" i="18"/>
  <c r="AN46" i="18"/>
  <c r="AN42" i="18"/>
  <c r="AO8" i="18"/>
  <c r="AN29" i="18"/>
  <c r="AN27" i="18"/>
  <c r="AN19" i="18"/>
  <c r="AN33" i="18"/>
  <c r="AN49" i="18"/>
  <c r="AN31" i="18"/>
  <c r="AN47" i="18"/>
  <c r="AN48" i="18"/>
  <c r="AN37" i="18"/>
  <c r="AN38" i="18"/>
  <c r="AN39" i="18"/>
  <c r="AN12" i="18"/>
  <c r="AO78" i="18" l="1"/>
  <c r="AO77" i="18"/>
  <c r="AO76" i="18"/>
  <c r="AO75" i="18"/>
  <c r="AO74" i="18"/>
  <c r="AO72" i="18"/>
  <c r="AO71" i="18"/>
  <c r="AO69" i="18"/>
  <c r="AO67" i="18"/>
  <c r="AO48" i="18"/>
  <c r="AO64" i="18"/>
  <c r="AO62" i="18"/>
  <c r="AO60" i="18"/>
  <c r="AO59" i="18"/>
  <c r="AO58" i="18"/>
  <c r="AO66" i="18"/>
  <c r="AO65" i="18"/>
  <c r="AO63" i="18"/>
  <c r="AO61" i="18"/>
  <c r="AO21" i="18"/>
  <c r="AO33" i="18"/>
  <c r="AO30" i="18"/>
  <c r="AO27" i="18"/>
  <c r="AO57" i="18"/>
  <c r="AO39" i="18"/>
  <c r="AO19" i="18"/>
  <c r="AO42" i="18"/>
  <c r="AO38" i="18"/>
  <c r="AP8" i="18"/>
  <c r="AO20" i="18"/>
  <c r="AO12" i="18"/>
  <c r="AO51" i="18"/>
  <c r="AO49" i="18"/>
  <c r="AO47" i="18"/>
  <c r="AO50" i="18"/>
  <c r="AO41" i="18"/>
  <c r="AO10" i="18"/>
  <c r="AO26" i="18"/>
  <c r="AO31" i="18"/>
  <c r="AO29" i="18"/>
  <c r="AO46" i="18"/>
  <c r="AO37" i="18"/>
  <c r="AP78" i="18" l="1"/>
  <c r="AP77" i="18"/>
  <c r="AP76" i="18"/>
  <c r="AP75" i="18"/>
  <c r="AP74" i="18"/>
  <c r="AP72" i="18"/>
  <c r="AP71" i="18"/>
  <c r="AP69" i="18"/>
  <c r="AP67" i="18"/>
  <c r="AP49" i="18"/>
  <c r="AP66" i="18"/>
  <c r="AP65" i="18"/>
  <c r="AP64" i="18"/>
  <c r="AP63" i="18"/>
  <c r="AP62" i="18"/>
  <c r="AP61" i="18"/>
  <c r="AP60" i="18"/>
  <c r="AP59" i="18"/>
  <c r="AP58" i="18"/>
  <c r="AP42" i="18"/>
  <c r="AP57" i="18"/>
  <c r="AP33" i="18"/>
  <c r="AP21" i="18"/>
  <c r="AP50" i="18"/>
  <c r="AP48" i="18"/>
  <c r="AP26" i="18"/>
  <c r="AQ8" i="18"/>
  <c r="AP29" i="18"/>
  <c r="AP39" i="18"/>
  <c r="AP46" i="18"/>
  <c r="AP41" i="18"/>
  <c r="AP19" i="18"/>
  <c r="AP20" i="18"/>
  <c r="AP38" i="18"/>
  <c r="AP37" i="18"/>
  <c r="AP51" i="18"/>
  <c r="AP27" i="18"/>
  <c r="AP10" i="18"/>
  <c r="AP30" i="18"/>
  <c r="AP31" i="18"/>
  <c r="AP12" i="18"/>
  <c r="AP47" i="18"/>
  <c r="AQ76" i="18" l="1"/>
  <c r="AQ71" i="18"/>
  <c r="AQ67" i="18"/>
  <c r="AQ77" i="18"/>
  <c r="AQ72" i="18"/>
  <c r="AQ78" i="18"/>
  <c r="AQ74" i="18"/>
  <c r="AQ75" i="18"/>
  <c r="AQ69" i="18"/>
  <c r="AQ47" i="18"/>
  <c r="AQ66" i="18"/>
  <c r="AQ62" i="18"/>
  <c r="AQ60" i="18"/>
  <c r="AQ58" i="18"/>
  <c r="AQ65" i="18"/>
  <c r="AQ64" i="18"/>
  <c r="AQ63" i="18"/>
  <c r="AQ61" i="18"/>
  <c r="AQ59" i="18"/>
  <c r="AQ50" i="18"/>
  <c r="AQ41" i="18"/>
  <c r="AQ48" i="18"/>
  <c r="AQ10" i="18"/>
  <c r="AQ42" i="18"/>
  <c r="AR8" i="18"/>
  <c r="AQ46" i="18"/>
  <c r="AQ33" i="18"/>
  <c r="AQ26" i="18"/>
  <c r="AQ20" i="18"/>
  <c r="AQ49" i="18"/>
  <c r="AQ39" i="18"/>
  <c r="AQ27" i="18"/>
  <c r="AQ29" i="18"/>
  <c r="AQ12" i="18"/>
  <c r="AQ38" i="18"/>
  <c r="AQ51" i="18"/>
  <c r="AQ21" i="18"/>
  <c r="AQ19" i="18"/>
  <c r="AQ37" i="18"/>
  <c r="AQ30" i="18"/>
  <c r="AQ57" i="18"/>
  <c r="AQ31" i="18"/>
  <c r="AR78" i="18" l="1"/>
  <c r="AR77" i="18"/>
  <c r="AR76" i="18"/>
  <c r="AR75" i="18"/>
  <c r="AR74" i="18"/>
  <c r="AR72" i="18"/>
  <c r="AR71" i="18"/>
  <c r="AR69" i="18"/>
  <c r="AR67" i="18"/>
  <c r="AR59" i="18"/>
  <c r="AR58" i="18"/>
  <c r="AR66" i="18"/>
  <c r="AR65" i="18"/>
  <c r="AR64" i="18"/>
  <c r="AR63" i="18"/>
  <c r="AR62" i="18"/>
  <c r="AR61" i="18"/>
  <c r="AR60" i="18"/>
  <c r="AR41" i="18"/>
  <c r="AR10" i="18"/>
  <c r="AR39" i="18"/>
  <c r="AR51" i="18"/>
  <c r="AR48" i="18"/>
  <c r="AR21" i="18"/>
  <c r="AR19" i="18"/>
  <c r="AR57" i="18"/>
  <c r="AR38" i="18"/>
  <c r="AR42" i="18"/>
  <c r="AR50" i="18"/>
  <c r="AR20" i="18"/>
  <c r="AR31" i="18"/>
  <c r="AR12" i="18"/>
  <c r="AR33" i="18"/>
  <c r="AR49" i="18"/>
  <c r="AR26" i="18"/>
  <c r="AR37" i="18"/>
  <c r="AR46" i="18"/>
  <c r="AR27" i="18"/>
  <c r="AR47" i="18"/>
  <c r="AR30" i="18"/>
  <c r="AR29" i="18"/>
  <c r="AS8" i="18"/>
  <c r="AS77" i="18" l="1"/>
  <c r="AS72" i="18"/>
  <c r="AS78" i="18"/>
  <c r="AS74" i="18"/>
  <c r="AS75" i="18"/>
  <c r="AS69" i="18"/>
  <c r="AS67" i="18"/>
  <c r="AS76" i="18"/>
  <c r="AS71" i="18"/>
  <c r="AS57" i="18"/>
  <c r="AS60" i="18"/>
  <c r="AS59" i="18"/>
  <c r="AS66" i="18"/>
  <c r="AS65" i="18"/>
  <c r="AS64" i="18"/>
  <c r="AS62" i="18"/>
  <c r="AS61" i="18"/>
  <c r="AS58" i="18"/>
  <c r="AS63" i="18"/>
  <c r="AS42" i="18"/>
  <c r="AS39" i="18"/>
  <c r="AS46" i="18"/>
  <c r="AS10" i="18"/>
  <c r="AS12" i="18"/>
  <c r="AS49" i="18"/>
  <c r="AS51" i="18"/>
  <c r="AT8" i="18"/>
  <c r="AS30" i="18"/>
  <c r="AS33" i="18"/>
  <c r="AS48" i="18"/>
  <c r="AS20" i="18"/>
  <c r="AS27" i="18"/>
  <c r="AS21" i="18"/>
  <c r="AS47" i="18"/>
  <c r="AS38" i="18"/>
  <c r="AS50" i="18"/>
  <c r="AS19" i="18"/>
  <c r="AS41" i="18"/>
  <c r="AS26" i="18"/>
  <c r="AS29" i="18"/>
  <c r="AS37" i="18"/>
  <c r="AS31" i="18"/>
  <c r="AT78" i="18" l="1"/>
  <c r="AT77" i="18"/>
  <c r="AT76" i="18"/>
  <c r="AT75" i="18"/>
  <c r="AT74" i="18"/>
  <c r="AT72" i="18"/>
  <c r="AT71" i="18"/>
  <c r="AT69" i="18"/>
  <c r="AT67" i="18"/>
  <c r="AT42" i="18"/>
  <c r="AT66" i="18"/>
  <c r="AT65" i="18"/>
  <c r="AT64" i="18"/>
  <c r="AT63" i="18"/>
  <c r="AT62" i="18"/>
  <c r="AT61" i="18"/>
  <c r="AT60" i="18"/>
  <c r="AT59" i="18"/>
  <c r="AT58" i="18"/>
  <c r="AT29" i="18"/>
  <c r="AT21" i="18"/>
  <c r="AT33" i="18"/>
  <c r="AT26" i="18"/>
  <c r="AT12" i="18"/>
  <c r="AT51" i="18"/>
  <c r="AT20" i="18"/>
  <c r="AT37" i="18"/>
  <c r="AT49" i="18"/>
  <c r="AT19" i="18"/>
  <c r="AT57" i="18"/>
  <c r="AT46" i="18"/>
  <c r="AT31" i="18"/>
  <c r="AT41" i="18"/>
  <c r="AT10" i="18"/>
  <c r="AT30" i="18"/>
  <c r="AT50" i="18"/>
  <c r="AT39" i="18"/>
  <c r="AT47" i="18"/>
  <c r="AT27" i="18"/>
  <c r="AT48" i="18"/>
  <c r="AU8" i="18"/>
  <c r="AT38" i="18"/>
  <c r="AT7" i="18"/>
  <c r="AU78" i="18" l="1"/>
  <c r="AU77" i="18"/>
  <c r="AU76" i="18"/>
  <c r="AU75" i="18"/>
  <c r="AU74" i="18"/>
  <c r="AU72" i="18"/>
  <c r="AU71" i="18"/>
  <c r="AU69" i="18"/>
  <c r="AU67" i="18"/>
  <c r="AU66" i="18"/>
  <c r="AU65" i="18"/>
  <c r="AU64" i="18"/>
  <c r="AU63" i="18"/>
  <c r="AU62" i="18"/>
  <c r="AU61" i="18"/>
  <c r="AU60" i="18"/>
  <c r="AU59" i="18"/>
  <c r="AU58" i="18"/>
  <c r="AU49" i="18"/>
  <c r="AU26" i="18"/>
  <c r="AU41" i="18"/>
  <c r="AU50" i="18"/>
  <c r="AU33" i="18"/>
  <c r="AU42" i="18"/>
  <c r="AU30" i="18"/>
  <c r="AU46" i="18"/>
  <c r="AU31" i="18"/>
  <c r="AU57" i="18"/>
  <c r="AU37" i="18"/>
  <c r="AU27" i="18"/>
  <c r="AU39" i="18"/>
  <c r="AU12" i="18"/>
  <c r="AV8" i="18"/>
  <c r="AU19" i="18"/>
  <c r="AU48" i="18"/>
  <c r="AU21" i="18"/>
  <c r="AU47" i="18"/>
  <c r="AU20" i="18"/>
  <c r="AU38" i="18"/>
  <c r="AU51" i="18"/>
  <c r="AU29" i="18"/>
  <c r="AU10" i="18"/>
  <c r="AV78" i="18" l="1"/>
  <c r="AV77" i="18"/>
  <c r="AV76" i="18"/>
  <c r="AV75" i="18"/>
  <c r="AV74" i="18"/>
  <c r="AV72" i="18"/>
  <c r="AV71" i="18"/>
  <c r="AV69" i="18"/>
  <c r="AV67" i="18"/>
  <c r="AV49" i="18"/>
  <c r="AV62" i="18"/>
  <c r="AV65" i="18"/>
  <c r="AV60" i="18"/>
  <c r="AV59" i="18"/>
  <c r="AV64" i="18"/>
  <c r="AV63" i="18"/>
  <c r="AV61" i="18"/>
  <c r="AV58" i="18"/>
  <c r="AV66" i="18"/>
  <c r="AV48" i="18"/>
  <c r="AV21" i="18"/>
  <c r="AV46" i="18"/>
  <c r="AV31" i="18"/>
  <c r="AV51" i="18"/>
  <c r="AV57" i="18"/>
  <c r="AV27" i="18"/>
  <c r="AV50" i="18"/>
  <c r="AV10" i="18"/>
  <c r="AV37" i="18"/>
  <c r="AV19" i="18"/>
  <c r="AV38" i="18"/>
  <c r="AV41" i="18"/>
  <c r="AV29" i="18"/>
  <c r="AV20" i="18"/>
  <c r="AV33" i="18"/>
  <c r="AV42" i="18"/>
  <c r="AV39" i="18"/>
  <c r="AW8" i="18"/>
  <c r="AV26" i="18"/>
  <c r="AV47" i="18"/>
  <c r="AV12" i="18"/>
  <c r="AV30" i="18"/>
  <c r="AW78" i="18" l="1"/>
  <c r="AW77" i="18"/>
  <c r="AW76" i="18"/>
  <c r="AW75" i="18"/>
  <c r="AW74" i="18"/>
  <c r="AW72" i="18"/>
  <c r="AW71" i="18"/>
  <c r="AW69" i="18"/>
  <c r="AW67" i="18"/>
  <c r="AW49" i="18"/>
  <c r="AW61" i="18"/>
  <c r="AW58" i="18"/>
  <c r="AW66" i="18"/>
  <c r="AW65" i="18"/>
  <c r="AW64" i="18"/>
  <c r="AW63" i="18"/>
  <c r="AW62" i="18"/>
  <c r="AW60" i="18"/>
  <c r="AW59" i="18"/>
  <c r="AW47" i="18"/>
  <c r="AW19" i="18"/>
  <c r="AW50" i="18"/>
  <c r="AW37" i="18"/>
  <c r="AX8" i="18"/>
  <c r="AW48" i="18"/>
  <c r="AW20" i="18"/>
  <c r="AW57" i="18"/>
  <c r="AW31" i="18"/>
  <c r="AW27" i="18"/>
  <c r="AW46" i="18"/>
  <c r="AW38" i="18"/>
  <c r="AW26" i="18"/>
  <c r="AW29" i="18"/>
  <c r="AW51" i="18"/>
  <c r="AW42" i="18"/>
  <c r="AW21" i="18"/>
  <c r="AW30" i="18"/>
  <c r="AW33" i="18"/>
  <c r="AW39" i="18"/>
  <c r="AW41" i="18"/>
  <c r="AW12" i="18"/>
  <c r="AW10" i="18"/>
  <c r="AX78" i="18" l="1"/>
  <c r="AX77" i="18"/>
  <c r="AX76" i="18"/>
  <c r="AX75" i="18"/>
  <c r="AX74" i="18"/>
  <c r="AX72" i="18"/>
  <c r="AX71" i="18"/>
  <c r="AX69" i="18"/>
  <c r="AX67" i="18"/>
  <c r="AX57" i="18"/>
  <c r="AX66" i="18"/>
  <c r="AX65" i="18"/>
  <c r="AX64" i="18"/>
  <c r="AX63" i="18"/>
  <c r="AX62" i="18"/>
  <c r="AX61" i="18"/>
  <c r="AX60" i="18"/>
  <c r="AX59" i="18"/>
  <c r="AX58" i="18"/>
  <c r="AX29" i="18"/>
  <c r="AX38" i="18"/>
  <c r="AX20" i="18"/>
  <c r="AX33" i="18"/>
  <c r="AX41" i="18"/>
  <c r="AX19" i="18"/>
  <c r="AX30" i="18"/>
  <c r="AX26" i="18"/>
  <c r="AX27" i="18"/>
  <c r="AX50" i="18"/>
  <c r="AX48" i="18"/>
  <c r="AY8" i="18"/>
  <c r="AX12" i="18"/>
  <c r="AX10" i="18"/>
  <c r="AX47" i="18"/>
  <c r="AX31" i="18"/>
  <c r="AX21" i="18"/>
  <c r="AX49" i="18"/>
  <c r="AX42" i="18"/>
  <c r="AX51" i="18"/>
  <c r="AX39" i="18"/>
  <c r="AX37" i="18"/>
  <c r="AX46" i="18"/>
  <c r="AY77" i="18" l="1"/>
  <c r="AY72" i="18"/>
  <c r="AY67" i="18"/>
  <c r="AY78" i="18"/>
  <c r="AY74" i="18"/>
  <c r="AY75" i="18"/>
  <c r="AY69" i="18"/>
  <c r="AY71" i="18"/>
  <c r="AY76" i="18"/>
  <c r="AY41" i="18"/>
  <c r="AY65" i="18"/>
  <c r="AY64" i="18"/>
  <c r="AY63" i="18"/>
  <c r="AY61" i="18"/>
  <c r="AY59" i="18"/>
  <c r="AY66" i="18"/>
  <c r="AY62" i="18"/>
  <c r="AY60" i="18"/>
  <c r="AY58" i="18"/>
  <c r="AY26" i="18"/>
  <c r="AY10" i="18"/>
  <c r="AY27" i="18"/>
  <c r="AY37" i="18"/>
  <c r="AY29" i="18"/>
  <c r="AY39" i="18"/>
  <c r="AY38" i="18"/>
  <c r="AY19" i="18"/>
  <c r="AY31" i="18"/>
  <c r="AY57" i="18"/>
  <c r="AY20" i="18"/>
  <c r="AY33" i="18"/>
  <c r="AY47" i="18"/>
  <c r="AY48" i="18"/>
  <c r="AY42" i="18"/>
  <c r="AZ8" i="18"/>
  <c r="AY30" i="18"/>
  <c r="AY50" i="18"/>
  <c r="AY49" i="18"/>
  <c r="AY21" i="18"/>
  <c r="AY12" i="18"/>
  <c r="AY51" i="18"/>
  <c r="AY46" i="18"/>
  <c r="AZ78" i="18" l="1"/>
  <c r="AZ77" i="18"/>
  <c r="AZ76" i="18"/>
  <c r="AZ75" i="18"/>
  <c r="AZ74" i="18"/>
  <c r="AZ72" i="18"/>
  <c r="AZ71" i="18"/>
  <c r="AZ69" i="18"/>
  <c r="AZ67" i="18"/>
  <c r="AZ47" i="18"/>
  <c r="AZ59" i="18"/>
  <c r="AZ66" i="18"/>
  <c r="AZ65" i="18"/>
  <c r="AZ64" i="18"/>
  <c r="AZ63" i="18"/>
  <c r="AZ62" i="18"/>
  <c r="AZ61" i="18"/>
  <c r="AZ60" i="18"/>
  <c r="AZ58" i="18"/>
  <c r="AZ29" i="18"/>
  <c r="AZ48" i="18"/>
  <c r="AZ10" i="18"/>
  <c r="AZ19" i="18"/>
  <c r="AZ27" i="18"/>
  <c r="AZ50" i="18"/>
  <c r="AZ31" i="18"/>
  <c r="AZ33" i="18"/>
  <c r="AZ30" i="18"/>
  <c r="AZ38" i="18"/>
  <c r="BA8" i="18"/>
  <c r="AZ12" i="18"/>
  <c r="AZ49" i="18"/>
  <c r="AZ41" i="18"/>
  <c r="AZ37" i="18"/>
  <c r="AZ20" i="18"/>
  <c r="AZ51" i="18"/>
  <c r="AZ39" i="18"/>
  <c r="AZ57" i="18"/>
  <c r="AZ46" i="18"/>
  <c r="AZ21" i="18"/>
  <c r="AZ42" i="18"/>
  <c r="AZ26" i="18"/>
  <c r="BA78" i="18" l="1"/>
  <c r="BA74" i="18"/>
  <c r="BA75" i="18"/>
  <c r="BA69" i="18"/>
  <c r="BA67" i="18"/>
  <c r="BA77" i="18"/>
  <c r="BA72" i="18"/>
  <c r="BA76" i="18"/>
  <c r="BA71" i="18"/>
  <c r="BA46" i="18"/>
  <c r="BA61" i="18"/>
  <c r="BA58" i="18"/>
  <c r="BA66" i="18"/>
  <c r="BA65" i="18"/>
  <c r="BA64" i="18"/>
  <c r="BA63" i="18"/>
  <c r="BA62" i="18"/>
  <c r="BA60" i="18"/>
  <c r="BA59" i="18"/>
  <c r="BA12" i="18"/>
  <c r="BA30" i="18"/>
  <c r="BA50" i="18"/>
  <c r="BA21" i="18"/>
  <c r="BA10" i="18"/>
  <c r="BA19" i="18"/>
  <c r="BA37" i="18"/>
  <c r="BA41" i="18"/>
  <c r="BA29" i="18"/>
  <c r="BA38" i="18"/>
  <c r="BA27" i="18"/>
  <c r="BA48" i="18"/>
  <c r="BA33" i="18"/>
  <c r="BA39" i="18"/>
  <c r="BA26" i="18"/>
  <c r="BA31" i="18"/>
  <c r="BA57" i="18"/>
  <c r="BA51" i="18"/>
  <c r="BA42" i="18"/>
  <c r="BA20" i="18"/>
  <c r="BA49" i="18"/>
  <c r="BA7" i="18"/>
  <c r="BB8" i="18"/>
  <c r="BA47" i="18"/>
  <c r="BB78" i="18" l="1"/>
  <c r="BB77" i="18"/>
  <c r="BB76" i="18"/>
  <c r="BB75" i="18"/>
  <c r="BB74" i="18"/>
  <c r="BB72" i="18"/>
  <c r="BB71" i="18"/>
  <c r="BB69" i="18"/>
  <c r="BB67" i="18"/>
  <c r="BB57" i="18"/>
  <c r="BB66" i="18"/>
  <c r="BB65" i="18"/>
  <c r="BB64" i="18"/>
  <c r="BB63" i="18"/>
  <c r="BB62" i="18"/>
  <c r="BB61" i="18"/>
  <c r="BB60" i="18"/>
  <c r="BB59" i="18"/>
  <c r="BB58" i="18"/>
  <c r="BB42" i="18"/>
  <c r="BB41" i="18"/>
  <c r="BB19" i="18"/>
  <c r="BB37" i="18"/>
  <c r="BB26" i="18"/>
  <c r="BB47" i="18"/>
  <c r="BB38" i="18"/>
  <c r="BB49" i="18"/>
  <c r="BC8" i="18"/>
  <c r="BB39" i="18"/>
  <c r="BB12" i="18"/>
  <c r="BB33" i="18"/>
  <c r="BB51" i="18"/>
  <c r="BB48" i="18"/>
  <c r="BB20" i="18"/>
  <c r="BB27" i="18"/>
  <c r="BB10" i="18"/>
  <c r="BB46" i="18"/>
  <c r="BB31" i="18"/>
  <c r="BB30" i="18"/>
  <c r="BB29" i="18"/>
  <c r="BB50" i="18"/>
  <c r="BB21" i="18"/>
  <c r="BC78" i="18" l="1"/>
  <c r="BC77" i="18"/>
  <c r="BC76" i="18"/>
  <c r="BC75" i="18"/>
  <c r="BC74" i="18"/>
  <c r="BC72" i="18"/>
  <c r="BC71" i="18"/>
  <c r="BC69" i="18"/>
  <c r="BC67" i="18"/>
  <c r="BC51" i="18"/>
  <c r="BC66" i="18"/>
  <c r="BC65" i="18"/>
  <c r="BC64" i="18"/>
  <c r="BC63" i="18"/>
  <c r="BC62" i="18"/>
  <c r="BC61" i="18"/>
  <c r="BC60" i="18"/>
  <c r="BC59" i="18"/>
  <c r="BC58" i="18"/>
  <c r="BC33" i="18"/>
  <c r="BC12" i="18"/>
  <c r="BC46" i="18"/>
  <c r="BC26" i="18"/>
  <c r="BC29" i="18"/>
  <c r="BC27" i="18"/>
  <c r="BC19" i="18"/>
  <c r="BC20" i="18"/>
  <c r="BC31" i="18"/>
  <c r="BC37" i="18"/>
  <c r="BC57" i="18"/>
  <c r="BC10" i="18"/>
  <c r="BC47" i="18"/>
  <c r="BC41" i="18"/>
  <c r="BC30" i="18"/>
  <c r="BC21" i="18"/>
  <c r="BC48" i="18"/>
  <c r="BC42" i="18"/>
  <c r="BC39" i="18"/>
  <c r="BD8" i="18"/>
  <c r="BC49" i="18"/>
  <c r="BC50" i="18"/>
  <c r="BC38" i="18"/>
  <c r="BD78" i="18" l="1"/>
  <c r="BD77" i="18"/>
  <c r="BD76" i="18"/>
  <c r="BD75" i="18"/>
  <c r="BD74" i="18"/>
  <c r="BD72" i="18"/>
  <c r="BD71" i="18"/>
  <c r="BD69" i="18"/>
  <c r="BD67" i="18"/>
  <c r="BD57" i="18"/>
  <c r="BD61" i="18"/>
  <c r="BD66" i="18"/>
  <c r="BD63" i="18"/>
  <c r="BD58" i="18"/>
  <c r="BD65" i="18"/>
  <c r="BD64" i="18"/>
  <c r="BD62" i="18"/>
  <c r="BD60" i="18"/>
  <c r="BD59" i="18"/>
  <c r="BD37" i="18"/>
  <c r="BD46" i="18"/>
  <c r="BD30" i="18"/>
  <c r="BD10" i="18"/>
  <c r="BD33" i="18"/>
  <c r="BD19" i="18"/>
  <c r="BD50" i="18"/>
  <c r="BD38" i="18"/>
  <c r="BD41" i="18"/>
  <c r="BD31" i="18"/>
  <c r="BD20" i="18"/>
  <c r="BD49" i="18"/>
  <c r="BD29" i="18"/>
  <c r="BD27" i="18"/>
  <c r="BD12" i="18"/>
  <c r="BD47" i="18"/>
  <c r="BD21" i="18"/>
  <c r="BD51" i="18"/>
  <c r="BD26" i="18"/>
  <c r="BD48" i="18"/>
  <c r="BD42" i="18"/>
  <c r="BE8" i="18"/>
  <c r="BD39" i="18"/>
  <c r="BE78" i="18" l="1"/>
  <c r="BE77" i="18"/>
  <c r="BE76" i="18"/>
  <c r="BE75" i="18"/>
  <c r="BE74" i="18"/>
  <c r="BE72" i="18"/>
  <c r="BE71" i="18"/>
  <c r="BE69" i="18"/>
  <c r="BE67" i="18"/>
  <c r="BE46" i="18"/>
  <c r="BE60" i="18"/>
  <c r="BE59" i="18"/>
  <c r="BE66" i="18"/>
  <c r="BE65" i="18"/>
  <c r="BE64" i="18"/>
  <c r="BE63" i="18"/>
  <c r="BE62" i="18"/>
  <c r="BE61" i="18"/>
  <c r="BE58" i="18"/>
  <c r="BE41" i="18"/>
  <c r="BE38" i="18"/>
  <c r="BE51" i="18"/>
  <c r="BE49" i="18"/>
  <c r="BE39" i="18"/>
  <c r="BE30" i="18"/>
  <c r="BF8" i="18"/>
  <c r="BE42" i="18"/>
  <c r="BE27" i="18"/>
  <c r="BE47" i="18"/>
  <c r="BE12" i="18"/>
  <c r="BE29" i="18"/>
  <c r="BE31" i="18"/>
  <c r="BE33" i="18"/>
  <c r="BE19" i="18"/>
  <c r="BE50" i="18"/>
  <c r="BE57" i="18"/>
  <c r="BE26" i="18"/>
  <c r="BE20" i="18"/>
  <c r="BE10" i="18"/>
  <c r="BE21" i="18"/>
  <c r="BE37" i="18"/>
  <c r="BE48" i="18"/>
  <c r="BF78" i="18" l="1"/>
  <c r="BF77" i="18"/>
  <c r="BF76" i="18"/>
  <c r="BF75" i="18"/>
  <c r="BF74" i="18"/>
  <c r="BF72" i="18"/>
  <c r="BF71" i="18"/>
  <c r="BF69" i="18"/>
  <c r="BF67" i="18"/>
  <c r="BF50" i="18"/>
  <c r="BF66" i="18"/>
  <c r="BF65" i="18"/>
  <c r="BF64" i="18"/>
  <c r="BF63" i="18"/>
  <c r="BF62" i="18"/>
  <c r="BF61" i="18"/>
  <c r="BF60" i="18"/>
  <c r="BF59" i="18"/>
  <c r="BF58" i="18"/>
  <c r="BF57" i="18"/>
  <c r="BF37" i="18"/>
  <c r="BF51" i="18"/>
  <c r="BF39" i="18"/>
  <c r="BF48" i="18"/>
  <c r="BF42" i="18"/>
  <c r="BF41" i="18"/>
  <c r="BF20" i="18"/>
  <c r="BF27" i="18"/>
  <c r="BF21" i="18"/>
  <c r="BF12" i="18"/>
  <c r="BF47" i="18"/>
  <c r="BF26" i="18"/>
  <c r="BF49" i="18"/>
  <c r="BF33" i="18"/>
  <c r="BF31" i="18"/>
  <c r="BF38" i="18"/>
  <c r="BF29" i="18"/>
  <c r="BF19" i="18"/>
  <c r="BF10" i="18"/>
  <c r="BF46" i="18"/>
  <c r="BG8" i="18"/>
  <c r="BF30" i="18"/>
  <c r="BG78" i="18" l="1"/>
  <c r="BG74" i="18"/>
  <c r="BG67" i="18"/>
  <c r="BG75" i="18"/>
  <c r="BG69" i="18"/>
  <c r="BG76" i="18"/>
  <c r="BG71" i="18"/>
  <c r="BG77" i="18"/>
  <c r="BG72" i="18"/>
  <c r="BG51" i="18"/>
  <c r="BG66" i="18"/>
  <c r="BG62" i="18"/>
  <c r="BG60" i="18"/>
  <c r="BG58" i="18"/>
  <c r="BG65" i="18"/>
  <c r="BG64" i="18"/>
  <c r="BG63" i="18"/>
  <c r="BG61" i="18"/>
  <c r="BG59" i="18"/>
  <c r="BG12" i="18"/>
  <c r="BG41" i="18"/>
  <c r="BG20" i="18"/>
  <c r="BG33" i="18"/>
  <c r="BG37" i="18"/>
  <c r="BG48" i="18"/>
  <c r="BG39" i="18"/>
  <c r="BG27" i="18"/>
  <c r="BG31" i="18"/>
  <c r="BG57" i="18"/>
  <c r="BG21" i="18"/>
  <c r="BG26" i="18"/>
  <c r="BH8" i="18"/>
  <c r="BG38" i="18"/>
  <c r="BG29" i="18"/>
  <c r="BG42" i="18"/>
  <c r="BG19" i="18"/>
  <c r="BG47" i="18"/>
  <c r="BG30" i="18"/>
  <c r="BG50" i="18"/>
  <c r="BG49" i="18"/>
  <c r="BG10" i="18"/>
  <c r="BG46" i="18"/>
  <c r="BH78" i="18" l="1"/>
  <c r="BH77" i="18"/>
  <c r="BH76" i="18"/>
  <c r="BH75" i="18"/>
  <c r="BH74" i="18"/>
  <c r="BH72" i="18"/>
  <c r="BH71" i="18"/>
  <c r="BH69" i="18"/>
  <c r="BH67" i="18"/>
  <c r="BH58" i="18"/>
  <c r="BH60" i="18"/>
  <c r="BH66" i="18"/>
  <c r="BH65" i="18"/>
  <c r="BH64" i="18"/>
  <c r="BH63" i="18"/>
  <c r="BH62" i="18"/>
  <c r="BH61" i="18"/>
  <c r="BH59" i="18"/>
  <c r="BH7" i="18"/>
  <c r="BH37" i="18"/>
  <c r="BH38" i="18"/>
  <c r="BI8" i="18"/>
  <c r="BH27" i="18"/>
  <c r="BH41" i="18"/>
  <c r="BH57" i="18"/>
  <c r="BH10" i="18"/>
  <c r="BH26" i="18"/>
  <c r="BH20" i="18"/>
  <c r="BH30" i="18"/>
  <c r="BH12" i="18"/>
  <c r="BH48" i="18"/>
  <c r="BH21" i="18"/>
  <c r="BH49" i="18"/>
  <c r="BH46" i="18"/>
  <c r="BH33" i="18"/>
  <c r="BH19" i="18"/>
  <c r="BH47" i="18"/>
  <c r="BH50" i="18"/>
  <c r="BH51" i="18"/>
  <c r="BH29" i="18"/>
  <c r="BH31" i="18"/>
  <c r="BH42" i="18"/>
  <c r="BH39" i="18"/>
  <c r="BI27" i="18" l="1"/>
  <c r="BI75" i="18"/>
  <c r="BI69" i="18"/>
  <c r="BI76" i="18"/>
  <c r="BI71" i="18"/>
  <c r="BI77" i="18"/>
  <c r="BI72" i="18"/>
  <c r="BI67" i="18"/>
  <c r="BI78" i="18"/>
  <c r="BI74" i="18"/>
  <c r="BI48" i="18"/>
  <c r="BI60" i="18"/>
  <c r="BI59" i="18"/>
  <c r="BI58" i="18"/>
  <c r="BI66" i="18"/>
  <c r="BI65" i="18"/>
  <c r="BI63" i="18"/>
  <c r="BI64" i="18"/>
  <c r="BI62" i="18"/>
  <c r="BI61" i="18"/>
  <c r="BI39" i="18"/>
  <c r="BI37" i="18"/>
  <c r="BJ8" i="18"/>
  <c r="BI47" i="18"/>
  <c r="BI21" i="18"/>
  <c r="BI12" i="18"/>
  <c r="BI20" i="18"/>
  <c r="BI46" i="18"/>
  <c r="BI30" i="18"/>
  <c r="BI51" i="18"/>
  <c r="BI10" i="18"/>
  <c r="BI49" i="18"/>
  <c r="BI29" i="18"/>
  <c r="BI31" i="18"/>
  <c r="BI42" i="18"/>
  <c r="BI33" i="18"/>
  <c r="BI57" i="18"/>
  <c r="BI41" i="18"/>
  <c r="BI50" i="18"/>
  <c r="BI26" i="18"/>
  <c r="BI38" i="18"/>
  <c r="BI19" i="18"/>
  <c r="BJ78" i="18" l="1"/>
  <c r="BJ77" i="18"/>
  <c r="BJ76" i="18"/>
  <c r="BJ75" i="18"/>
  <c r="BJ74" i="18"/>
  <c r="BJ72" i="18"/>
  <c r="BJ71" i="18"/>
  <c r="BJ69" i="18"/>
  <c r="BJ67" i="18"/>
  <c r="BJ66" i="18"/>
  <c r="BJ65" i="18"/>
  <c r="BJ64" i="18"/>
  <c r="BJ63" i="18"/>
  <c r="BJ62" i="18"/>
  <c r="BJ61" i="18"/>
  <c r="BJ60" i="18"/>
  <c r="BJ59" i="18"/>
  <c r="BJ58" i="18"/>
  <c r="BJ38" i="18"/>
  <c r="BJ12" i="18"/>
  <c r="BK8" i="18"/>
  <c r="BK51" i="18" s="1"/>
  <c r="BJ37" i="18"/>
  <c r="BJ47" i="18"/>
  <c r="BJ27" i="18"/>
  <c r="BJ49" i="18"/>
  <c r="BJ26" i="18"/>
  <c r="BJ50" i="18"/>
  <c r="BJ46" i="18"/>
  <c r="BJ57" i="18"/>
  <c r="BJ39" i="18"/>
  <c r="BJ20" i="18"/>
  <c r="BJ41" i="18"/>
  <c r="BJ42" i="18"/>
  <c r="BJ48" i="18"/>
  <c r="BJ29" i="18"/>
  <c r="BJ51" i="18"/>
  <c r="BJ21" i="18"/>
  <c r="BJ10" i="18"/>
  <c r="BJ19" i="18"/>
  <c r="BJ33" i="18"/>
  <c r="BJ31" i="18"/>
  <c r="BJ30" i="18"/>
  <c r="BK78" i="18" l="1"/>
  <c r="BK77" i="18"/>
  <c r="BK76" i="18"/>
  <c r="BK75" i="18"/>
  <c r="BK74" i="18"/>
  <c r="BK72" i="18"/>
  <c r="BK71" i="18"/>
  <c r="BK69" i="18"/>
  <c r="BK67" i="18"/>
  <c r="BK39" i="18"/>
  <c r="BK66" i="18"/>
  <c r="BK65" i="18"/>
  <c r="BK64" i="18"/>
  <c r="BK63" i="18"/>
  <c r="BK62" i="18"/>
  <c r="BK61" i="18"/>
  <c r="BK60" i="18"/>
  <c r="BK59" i="18"/>
  <c r="BK58" i="18"/>
  <c r="BK46" i="18"/>
  <c r="BK47" i="18"/>
  <c r="BK42" i="18"/>
  <c r="BK30" i="18"/>
  <c r="BK48" i="18"/>
  <c r="BK57" i="18"/>
  <c r="BK31" i="18"/>
  <c r="BK29" i="18"/>
  <c r="BK38" i="18"/>
  <c r="BK12" i="18"/>
  <c r="BK37" i="18"/>
  <c r="BK27" i="18"/>
  <c r="BK41" i="18"/>
  <c r="BK19" i="18"/>
  <c r="BK21" i="18"/>
  <c r="BK49" i="18"/>
  <c r="BK10" i="18"/>
  <c r="BK20" i="18"/>
  <c r="BK33" i="18"/>
  <c r="BK50" i="18"/>
  <c r="BK26" i="18"/>
  <c r="BL8" i="18"/>
  <c r="BL78" i="18" l="1"/>
  <c r="BL77" i="18"/>
  <c r="BL76" i="18"/>
  <c r="BL75" i="18"/>
  <c r="BL74" i="18"/>
  <c r="BL72" i="18"/>
  <c r="BL71" i="18"/>
  <c r="BL69" i="18"/>
  <c r="BL67" i="18"/>
  <c r="BL57" i="18"/>
  <c r="BL65" i="18"/>
  <c r="BL62" i="18"/>
  <c r="BL61" i="18"/>
  <c r="BL60" i="18"/>
  <c r="BL66" i="18"/>
  <c r="BL59" i="18"/>
  <c r="BL64" i="18"/>
  <c r="BL58" i="18"/>
  <c r="BL63" i="18"/>
  <c r="BL47" i="18"/>
  <c r="BL19" i="18"/>
  <c r="BL30" i="18"/>
  <c r="BM8" i="18"/>
  <c r="BL31" i="18"/>
  <c r="BL42" i="18"/>
  <c r="BL49" i="18"/>
  <c r="BL20" i="18"/>
  <c r="BL10" i="18"/>
  <c r="BL27" i="18"/>
  <c r="BL38" i="18"/>
  <c r="BL48" i="18"/>
  <c r="BL29" i="18"/>
  <c r="BL21" i="18"/>
  <c r="BL26" i="18"/>
  <c r="BL39" i="18"/>
  <c r="BL37" i="18"/>
  <c r="BL46" i="18"/>
  <c r="BL12" i="18"/>
  <c r="BL50" i="18"/>
  <c r="BL51" i="18"/>
  <c r="BL41" i="18"/>
  <c r="BL33" i="18"/>
  <c r="BM78" i="18" l="1"/>
  <c r="BM77" i="18"/>
  <c r="BM76" i="18"/>
  <c r="BM75" i="18"/>
  <c r="BM74" i="18"/>
  <c r="BM72" i="18"/>
  <c r="BM71" i="18"/>
  <c r="BM69" i="18"/>
  <c r="BM67" i="18"/>
  <c r="BM57" i="18"/>
  <c r="BM62" i="18"/>
  <c r="BM61" i="18"/>
  <c r="BM58" i="18"/>
  <c r="BM66" i="18"/>
  <c r="BM65" i="18"/>
  <c r="BM64" i="18"/>
  <c r="BM63" i="18"/>
  <c r="BM60" i="18"/>
  <c r="BM59" i="18"/>
  <c r="BM47" i="18"/>
  <c r="BM12" i="18"/>
  <c r="BM29" i="18"/>
  <c r="BM50" i="18"/>
  <c r="BM26" i="18"/>
  <c r="BM42" i="18"/>
  <c r="BM38" i="18"/>
  <c r="BM19" i="18"/>
  <c r="BN8" i="18"/>
  <c r="BM51" i="18"/>
  <c r="BM49" i="18"/>
  <c r="BM39" i="18"/>
  <c r="BM41" i="18"/>
  <c r="BM31" i="18"/>
  <c r="BM33" i="18"/>
  <c r="BM21" i="18"/>
  <c r="BM46" i="18"/>
  <c r="BM27" i="18"/>
  <c r="BM20" i="18"/>
  <c r="BM10" i="18"/>
  <c r="BM37" i="18"/>
  <c r="BM48" i="18"/>
  <c r="BM30" i="18"/>
  <c r="BO8" i="18" l="1"/>
  <c r="BN78" i="18"/>
  <c r="BN77" i="18"/>
  <c r="BN76" i="18"/>
  <c r="BN75" i="18"/>
  <c r="BN74" i="18"/>
  <c r="BN72" i="18"/>
  <c r="BN71" i="18"/>
  <c r="BN69" i="18"/>
  <c r="BN67" i="18"/>
  <c r="BN48" i="18"/>
  <c r="BN66" i="18"/>
  <c r="BN65" i="18"/>
  <c r="BN64" i="18"/>
  <c r="BN63" i="18"/>
  <c r="BN62" i="18"/>
  <c r="BN61" i="18"/>
  <c r="BN60" i="18"/>
  <c r="BN59" i="18"/>
  <c r="BN58" i="18"/>
  <c r="BN19" i="18"/>
  <c r="BN42" i="18"/>
  <c r="BN37" i="18"/>
  <c r="BN57" i="18"/>
  <c r="BN49" i="18"/>
  <c r="BN39" i="18"/>
  <c r="BN31" i="18"/>
  <c r="BN38" i="18"/>
  <c r="BN12" i="18"/>
  <c r="BN51" i="18"/>
  <c r="BN10" i="18"/>
  <c r="BN50" i="18"/>
  <c r="BN33" i="18"/>
  <c r="BN26" i="18"/>
  <c r="BN47" i="18"/>
  <c r="BN30" i="18"/>
  <c r="BN46" i="18"/>
  <c r="BN20" i="18"/>
  <c r="BN27" i="18"/>
  <c r="BN41" i="18"/>
  <c r="BN21" i="18"/>
  <c r="BN29" i="18"/>
  <c r="BO18" i="18" l="1"/>
  <c r="BO17" i="18"/>
  <c r="BO47" i="18"/>
  <c r="BO30" i="18"/>
  <c r="BO32" i="18"/>
  <c r="BO39" i="18"/>
  <c r="BP8" i="18"/>
  <c r="BP17" i="18" s="1"/>
  <c r="BO44" i="18"/>
  <c r="BO31" i="18"/>
  <c r="BO50" i="18"/>
  <c r="BO33" i="18"/>
  <c r="BO52" i="18"/>
  <c r="BO12" i="18"/>
  <c r="BO55" i="18"/>
  <c r="BO13" i="18"/>
  <c r="BO59" i="18"/>
  <c r="BO10" i="18"/>
  <c r="BO14" i="18"/>
  <c r="BO42" i="18"/>
  <c r="BO54" i="18"/>
  <c r="BO62" i="18"/>
  <c r="BO21" i="18"/>
  <c r="BO15" i="18"/>
  <c r="BO23" i="18"/>
  <c r="BO22" i="18"/>
  <c r="BO45" i="18"/>
  <c r="BO53" i="18"/>
  <c r="BO60" i="18"/>
  <c r="BO64" i="18"/>
  <c r="BO35" i="18"/>
  <c r="BO34" i="18"/>
  <c r="BO16" i="18"/>
  <c r="BO37" i="18"/>
  <c r="BO48" i="18"/>
  <c r="BO57" i="18"/>
  <c r="BO63" i="18"/>
  <c r="BO25" i="18"/>
  <c r="BO24" i="18"/>
  <c r="BO38" i="18"/>
  <c r="BO56" i="18"/>
  <c r="BO66" i="18"/>
  <c r="BO65" i="18"/>
  <c r="BO27" i="18"/>
  <c r="BO19" i="18"/>
  <c r="BO26" i="18"/>
  <c r="BO41" i="18"/>
  <c r="BO58" i="18"/>
  <c r="BO49" i="18"/>
  <c r="BO46" i="18"/>
  <c r="BO29" i="18"/>
  <c r="BO20" i="18"/>
  <c r="BO28" i="18"/>
  <c r="BO43" i="18"/>
  <c r="BO61" i="18"/>
  <c r="BO51" i="18"/>
  <c r="BO75" i="18"/>
  <c r="BO69" i="18"/>
  <c r="BO67" i="18"/>
  <c r="BO76" i="18"/>
  <c r="BO71" i="18"/>
  <c r="BO77" i="18"/>
  <c r="BO72" i="18"/>
  <c r="BO78" i="18"/>
  <c r="BO74" i="18"/>
  <c r="BP76" i="18" l="1"/>
  <c r="BP77" i="18"/>
  <c r="BP78" i="18"/>
  <c r="BP21" i="18"/>
  <c r="BP44" i="18"/>
  <c r="BP42" i="18"/>
  <c r="BP27" i="18"/>
  <c r="BP39" i="18"/>
  <c r="BP59" i="18"/>
  <c r="BQ8" i="18"/>
  <c r="BQ17" i="18" s="1"/>
  <c r="BP25" i="18"/>
  <c r="BP51" i="18"/>
  <c r="BP26" i="18"/>
  <c r="BP55" i="18"/>
  <c r="BP33" i="18"/>
  <c r="BP60" i="18"/>
  <c r="BP10" i="18"/>
  <c r="BP45" i="18"/>
  <c r="BP61" i="18"/>
  <c r="BP72" i="18"/>
  <c r="BP13" i="18"/>
  <c r="BP29" i="18"/>
  <c r="BP47" i="18"/>
  <c r="BP63" i="18"/>
  <c r="BP18" i="18"/>
  <c r="BP34" i="18"/>
  <c r="BP52" i="18"/>
  <c r="BP67" i="18"/>
  <c r="BP19" i="18"/>
  <c r="BP35" i="18"/>
  <c r="BP53" i="18"/>
  <c r="BP69" i="18"/>
  <c r="BP12" i="18"/>
  <c r="BP20" i="18"/>
  <c r="BP28" i="18"/>
  <c r="BP37" i="18"/>
  <c r="BP46" i="18"/>
  <c r="BP54" i="18"/>
  <c r="BP62" i="18"/>
  <c r="BP71" i="18"/>
  <c r="BP14" i="18"/>
  <c r="BP22" i="18"/>
  <c r="BP30" i="18"/>
  <c r="BP38" i="18"/>
  <c r="BP48" i="18"/>
  <c r="BP56" i="18"/>
  <c r="BP64" i="18"/>
  <c r="BP74" i="18"/>
  <c r="BP15" i="18"/>
  <c r="BP23" i="18"/>
  <c r="BP31" i="18"/>
  <c r="BP41" i="18"/>
  <c r="BP49" i="18"/>
  <c r="BP57" i="18"/>
  <c r="BP65" i="18"/>
  <c r="BP75" i="18"/>
  <c r="BP16" i="18"/>
  <c r="BP24" i="18"/>
  <c r="BP32" i="18"/>
  <c r="BP43" i="18"/>
  <c r="BP50" i="18"/>
  <c r="BP58" i="18"/>
  <c r="BP66" i="18"/>
  <c r="BQ78" i="18" l="1"/>
  <c r="BQ23" i="18"/>
  <c r="BQ49" i="18"/>
  <c r="BQ75" i="18"/>
  <c r="BQ38" i="18"/>
  <c r="BQ64" i="18"/>
  <c r="BQ14" i="18"/>
  <c r="BQ41" i="18"/>
  <c r="BQ65" i="18"/>
  <c r="BQ21" i="18"/>
  <c r="BQ48" i="18"/>
  <c r="BQ46" i="18"/>
  <c r="BQ67" i="18"/>
  <c r="BQ28" i="18"/>
  <c r="BQ51" i="18"/>
  <c r="BQ29" i="18"/>
  <c r="BQ56" i="18"/>
  <c r="BQ77" i="18"/>
  <c r="BQ15" i="18"/>
  <c r="BQ31" i="18"/>
  <c r="BQ57" i="18"/>
  <c r="BQ16" i="18"/>
  <c r="BQ37" i="18"/>
  <c r="BQ59" i="18"/>
  <c r="BQ20" i="18"/>
  <c r="BQ22" i="18"/>
  <c r="BQ30" i="18"/>
  <c r="BQ39" i="18"/>
  <c r="BQ50" i="18"/>
  <c r="BQ58" i="18"/>
  <c r="BQ66" i="18"/>
  <c r="BQ72" i="18"/>
  <c r="BQ24" i="18"/>
  <c r="BQ42" i="18"/>
  <c r="BQ60" i="18"/>
  <c r="BQ71" i="18"/>
  <c r="BQ19" i="18"/>
  <c r="BQ25" i="18"/>
  <c r="BQ33" i="18"/>
  <c r="BQ43" i="18"/>
  <c r="BQ53" i="18"/>
  <c r="BQ61" i="18"/>
  <c r="BQ69" i="18"/>
  <c r="BQ76" i="18"/>
  <c r="BQ32" i="18"/>
  <c r="BQ52" i="18"/>
  <c r="BQ47" i="18"/>
  <c r="BQ10" i="18"/>
  <c r="BQ34" i="18"/>
  <c r="BQ74" i="18"/>
  <c r="BQ18" i="18"/>
  <c r="BQ12" i="18"/>
  <c r="BQ26" i="18"/>
  <c r="BQ44" i="18"/>
  <c r="BQ54" i="18"/>
  <c r="BQ62" i="18"/>
  <c r="BR8" i="18"/>
  <c r="BR17" i="18" s="1"/>
  <c r="BQ13" i="18"/>
  <c r="BQ27" i="18"/>
  <c r="BQ35" i="18"/>
  <c r="BQ45" i="18"/>
  <c r="BQ55" i="18"/>
  <c r="BQ63" i="18"/>
  <c r="BR76" i="18" l="1"/>
  <c r="BR71" i="18"/>
  <c r="BR42" i="18"/>
  <c r="BR18" i="18"/>
  <c r="BR10" i="18"/>
  <c r="BR20" i="18"/>
  <c r="BR50" i="18"/>
  <c r="BR72" i="18"/>
  <c r="BR51" i="18"/>
  <c r="BR23" i="18"/>
  <c r="BR28" i="18"/>
  <c r="BR25" i="18"/>
  <c r="BR30" i="18"/>
  <c r="BR52" i="18"/>
  <c r="BR12" i="18"/>
  <c r="BR37" i="18"/>
  <c r="BR60" i="18"/>
  <c r="BR32" i="18"/>
  <c r="BR31" i="18"/>
  <c r="BR16" i="18"/>
  <c r="BR39" i="18"/>
  <c r="BR61" i="18"/>
  <c r="BR27" i="18"/>
  <c r="BR59" i="18"/>
  <c r="BR41" i="18"/>
  <c r="BR69" i="18"/>
  <c r="BS8" i="18"/>
  <c r="BS17" i="18" s="1"/>
  <c r="BR29" i="18"/>
  <c r="BR19" i="18"/>
  <c r="BR34" i="18"/>
  <c r="BR43" i="18"/>
  <c r="BR53" i="18"/>
  <c r="BR62" i="18"/>
  <c r="BR75" i="18"/>
  <c r="BR54" i="18"/>
  <c r="BR63" i="18"/>
  <c r="BR45" i="18"/>
  <c r="BR44" i="18"/>
  <c r="BR77" i="18"/>
  <c r="BR13" i="18"/>
  <c r="BR22" i="18"/>
  <c r="BR55" i="18"/>
  <c r="BR78" i="18"/>
  <c r="BR15" i="18"/>
  <c r="BR35" i="18"/>
  <c r="BR24" i="18"/>
  <c r="BR46" i="18"/>
  <c r="BR48" i="18"/>
  <c r="BR56" i="18"/>
  <c r="BR66" i="18"/>
  <c r="BR33" i="18"/>
  <c r="BR47" i="18"/>
  <c r="BR64" i="18"/>
  <c r="BR21" i="18"/>
  <c r="BR14" i="18"/>
  <c r="BR26" i="18"/>
  <c r="BR38" i="18"/>
  <c r="BR49" i="18"/>
  <c r="BR58" i="18"/>
  <c r="BR67" i="18"/>
  <c r="BR74" i="18"/>
  <c r="BR57" i="18"/>
  <c r="BR65" i="18"/>
  <c r="BS74" i="18" l="1"/>
  <c r="BS58" i="18"/>
  <c r="BS37" i="18"/>
  <c r="BT8" i="18"/>
  <c r="BT17" i="18" s="1"/>
  <c r="BS67" i="18"/>
  <c r="BS59" i="18"/>
  <c r="BS33" i="18"/>
  <c r="BS10" i="18"/>
  <c r="BS69" i="18"/>
  <c r="BS34" i="18"/>
  <c r="BS12" i="18"/>
  <c r="BS71" i="18"/>
  <c r="BS14" i="18"/>
  <c r="BS19" i="18"/>
  <c r="BS50" i="18"/>
  <c r="BS63" i="18"/>
  <c r="BS75" i="18"/>
  <c r="BS18" i="18"/>
  <c r="BS47" i="18"/>
  <c r="BS23" i="18"/>
  <c r="BS78" i="18"/>
  <c r="BS25" i="18"/>
  <c r="BS24" i="18"/>
  <c r="BS52" i="18"/>
  <c r="BS38" i="18"/>
  <c r="BS60" i="18"/>
  <c r="BS20" i="18"/>
  <c r="BS66" i="18"/>
  <c r="BS27" i="18"/>
  <c r="BS30" i="18"/>
  <c r="BS53" i="18"/>
  <c r="BS39" i="18"/>
  <c r="BS51" i="18"/>
  <c r="BS29" i="18"/>
  <c r="BS32" i="18"/>
  <c r="BS55" i="18"/>
  <c r="BS43" i="18"/>
  <c r="BS15" i="18"/>
  <c r="BS35" i="18"/>
  <c r="BS26" i="18"/>
  <c r="BS48" i="18"/>
  <c r="BS56" i="18"/>
  <c r="BS64" i="18"/>
  <c r="BS44" i="18"/>
  <c r="BS76" i="18"/>
  <c r="BS21" i="18"/>
  <c r="BS16" i="18"/>
  <c r="BS28" i="18"/>
  <c r="BS49" i="18"/>
  <c r="BS57" i="18"/>
  <c r="BS65" i="18"/>
  <c r="BS45" i="18"/>
  <c r="BS77" i="18"/>
  <c r="BS61" i="18"/>
  <c r="BS41" i="18"/>
  <c r="BS72" i="18"/>
  <c r="BS13" i="18"/>
  <c r="BS31" i="18"/>
  <c r="BS22" i="18"/>
  <c r="BS46" i="18"/>
  <c r="BS54" i="18"/>
  <c r="BS62" i="18"/>
  <c r="BS42" i="18"/>
  <c r="BT76" i="18" l="1"/>
  <c r="BT10" i="18"/>
  <c r="BT78" i="18"/>
  <c r="BT22" i="18"/>
  <c r="BT30" i="18"/>
  <c r="BT27" i="18"/>
  <c r="BT38" i="18"/>
  <c r="BT50" i="18"/>
  <c r="BT35" i="18"/>
  <c r="BT14" i="18"/>
  <c r="BT53" i="18"/>
  <c r="BT56" i="18"/>
  <c r="BT51" i="18"/>
  <c r="BT67" i="18"/>
  <c r="BT71" i="18"/>
  <c r="BT43" i="18"/>
  <c r="BT58" i="18"/>
  <c r="BT61" i="18"/>
  <c r="BT24" i="18"/>
  <c r="BT25" i="18"/>
  <c r="BT39" i="18"/>
  <c r="BU8" i="18"/>
  <c r="BU17" i="18" s="1"/>
  <c r="BT26" i="18"/>
  <c r="BT42" i="18"/>
  <c r="BT64" i="18"/>
  <c r="BT66" i="18"/>
  <c r="BT16" i="18"/>
  <c r="BT34" i="18"/>
  <c r="BT52" i="18"/>
  <c r="BT69" i="18"/>
  <c r="BT44" i="18"/>
  <c r="BT75" i="18"/>
  <c r="BT18" i="18"/>
  <c r="BT32" i="18"/>
  <c r="BT59" i="18"/>
  <c r="BT19" i="18"/>
  <c r="BT33" i="18"/>
  <c r="BT48" i="18"/>
  <c r="BT60" i="18"/>
  <c r="BT77" i="18"/>
  <c r="BT12" i="18"/>
  <c r="BT20" i="18"/>
  <c r="BT28" i="18"/>
  <c r="BT37" i="18"/>
  <c r="BT46" i="18"/>
  <c r="BT54" i="18"/>
  <c r="BT62" i="18"/>
  <c r="BT72" i="18"/>
  <c r="BT13" i="18"/>
  <c r="BT21" i="18"/>
  <c r="BT29" i="18"/>
  <c r="BT45" i="18"/>
  <c r="BT47" i="18"/>
  <c r="BT55" i="18"/>
  <c r="BT63" i="18"/>
  <c r="BT74" i="18"/>
  <c r="BT15" i="18"/>
  <c r="BT23" i="18"/>
  <c r="BT31" i="18"/>
  <c r="BT41" i="18"/>
  <c r="BT49" i="18"/>
  <c r="BT57" i="18"/>
  <c r="BT65" i="18"/>
  <c r="BU72" i="18" l="1"/>
  <c r="BU48" i="18"/>
  <c r="BU47" i="18"/>
  <c r="BU56" i="18"/>
  <c r="BU10" i="18"/>
  <c r="BU24" i="18"/>
  <c r="BU33" i="18"/>
  <c r="BU66" i="18"/>
  <c r="BU57" i="18"/>
  <c r="BU27" i="18"/>
  <c r="BU20" i="18"/>
  <c r="BU67" i="18"/>
  <c r="BU65" i="18"/>
  <c r="BU22" i="18"/>
  <c r="BU69" i="18"/>
  <c r="BU12" i="18"/>
  <c r="BU49" i="18"/>
  <c r="BU58" i="18"/>
  <c r="BU38" i="18"/>
  <c r="BU71" i="18"/>
  <c r="BU13" i="18"/>
  <c r="BU30" i="18"/>
  <c r="BU50" i="18"/>
  <c r="BU59" i="18"/>
  <c r="BU39" i="18"/>
  <c r="BU74" i="18"/>
  <c r="BU35" i="18"/>
  <c r="BU32" i="18"/>
  <c r="BU60" i="18"/>
  <c r="BU42" i="18"/>
  <c r="BU75" i="18"/>
  <c r="BU14" i="18"/>
  <c r="BU25" i="18"/>
  <c r="BU52" i="18"/>
  <c r="BU43" i="18"/>
  <c r="BU76" i="18"/>
  <c r="BU21" i="18"/>
  <c r="BU15" i="18"/>
  <c r="BU34" i="18"/>
  <c r="BU62" i="18"/>
  <c r="BU16" i="18"/>
  <c r="BU29" i="18"/>
  <c r="BU37" i="18"/>
  <c r="BU54" i="18"/>
  <c r="BU63" i="18"/>
  <c r="BU44" i="18"/>
  <c r="BU77" i="18"/>
  <c r="BU28" i="18"/>
  <c r="BU51" i="18"/>
  <c r="BV8" i="18"/>
  <c r="BV17" i="18" s="1"/>
  <c r="BU23" i="18"/>
  <c r="BU18" i="18"/>
  <c r="BU46" i="18"/>
  <c r="BU55" i="18"/>
  <c r="BU64" i="18"/>
  <c r="BU45" i="18"/>
  <c r="BU78" i="18"/>
  <c r="BU26" i="18"/>
  <c r="BU31" i="18"/>
  <c r="BU19" i="18"/>
  <c r="BU7" i="18"/>
  <c r="BU53" i="18"/>
  <c r="BU61" i="18"/>
  <c r="BU41" i="18"/>
  <c r="BV78" i="18" l="1"/>
  <c r="BV44" i="18"/>
  <c r="BV34" i="18"/>
  <c r="BV60" i="18"/>
  <c r="BV33" i="18"/>
  <c r="BV76" i="18"/>
  <c r="BV16" i="18"/>
  <c r="BV61" i="18"/>
  <c r="BV10" i="18"/>
  <c r="BV12" i="18"/>
  <c r="BV50" i="18"/>
  <c r="BV62" i="18"/>
  <c r="BW8" i="18"/>
  <c r="BW17" i="18" s="1"/>
  <c r="BV18" i="18"/>
  <c r="BV52" i="18"/>
  <c r="BV65" i="18"/>
  <c r="BV20" i="18"/>
  <c r="BV21" i="18"/>
  <c r="BV38" i="18"/>
  <c r="BV53" i="18"/>
  <c r="BV66" i="18"/>
  <c r="BV26" i="18"/>
  <c r="BV39" i="18"/>
  <c r="BV25" i="18"/>
  <c r="BV37" i="18"/>
  <c r="BV49" i="18"/>
  <c r="BV77" i="18"/>
  <c r="BV13" i="18"/>
  <c r="BV23" i="18"/>
  <c r="BV54" i="18"/>
  <c r="BV69" i="18"/>
  <c r="BV28" i="18"/>
  <c r="BV42" i="18"/>
  <c r="BV57" i="18"/>
  <c r="BV71" i="18"/>
  <c r="BV32" i="18"/>
  <c r="BV31" i="18"/>
  <c r="BV43" i="18"/>
  <c r="BV58" i="18"/>
  <c r="BV72" i="18"/>
  <c r="BV22" i="18"/>
  <c r="BV19" i="18"/>
  <c r="BV27" i="18"/>
  <c r="BV46" i="18"/>
  <c r="BV45" i="18"/>
  <c r="BV55" i="18"/>
  <c r="BV63" i="18"/>
  <c r="BV74" i="18"/>
  <c r="BV24" i="18"/>
  <c r="BV14" i="18"/>
  <c r="BV29" i="18"/>
  <c r="BV47" i="18"/>
  <c r="BV48" i="18"/>
  <c r="BV56" i="18"/>
  <c r="BV64" i="18"/>
  <c r="BV75" i="18"/>
  <c r="BV30" i="18"/>
  <c r="BV15" i="18"/>
  <c r="BV35" i="18"/>
  <c r="BV41" i="18"/>
  <c r="BV51" i="18"/>
  <c r="BV59" i="18"/>
  <c r="BV67" i="18"/>
  <c r="BW74" i="18" l="1"/>
  <c r="BW78" i="18"/>
  <c r="BW15" i="18"/>
  <c r="BW35" i="18"/>
  <c r="BW43" i="18"/>
  <c r="BW58" i="18"/>
  <c r="BW65" i="18"/>
  <c r="BW16" i="18"/>
  <c r="BW28" i="18"/>
  <c r="BW21" i="18"/>
  <c r="BW18" i="18"/>
  <c r="BW32" i="18"/>
  <c r="BW23" i="18"/>
  <c r="BW55" i="18"/>
  <c r="BW51" i="18"/>
  <c r="BW62" i="18"/>
  <c r="BW64" i="18"/>
  <c r="BW77" i="18"/>
  <c r="BW49" i="18"/>
  <c r="BW25" i="18"/>
  <c r="BW20" i="18"/>
  <c r="BW37" i="18"/>
  <c r="BW27" i="18"/>
  <c r="BW63" i="18"/>
  <c r="BW50" i="18"/>
  <c r="BW39" i="18"/>
  <c r="BW47" i="18"/>
  <c r="BW71" i="18"/>
  <c r="BW30" i="18"/>
  <c r="BW59" i="18"/>
  <c r="BW66" i="18"/>
  <c r="BW46" i="18"/>
  <c r="BW67" i="18"/>
  <c r="BW22" i="18"/>
  <c r="BW12" i="18"/>
  <c r="BW29" i="18"/>
  <c r="BW45" i="18"/>
  <c r="BW52" i="18"/>
  <c r="BW42" i="18"/>
  <c r="BW69" i="18"/>
  <c r="BW76" i="18"/>
  <c r="BW44" i="18"/>
  <c r="BW60" i="18"/>
  <c r="BW48" i="18"/>
  <c r="BW72" i="18"/>
  <c r="BW19" i="18"/>
  <c r="BW61" i="18"/>
  <c r="BW24" i="18"/>
  <c r="BW13" i="18"/>
  <c r="BW31" i="18"/>
  <c r="BW38" i="18"/>
  <c r="BW54" i="18"/>
  <c r="BW53" i="18"/>
  <c r="BW75" i="18"/>
  <c r="BW34" i="18"/>
  <c r="BX8" i="18"/>
  <c r="BX17" i="18" s="1"/>
  <c r="BW10" i="18"/>
  <c r="BW26" i="18"/>
  <c r="BW14" i="18"/>
  <c r="BW33" i="18"/>
  <c r="BW41" i="18"/>
  <c r="BW56" i="18"/>
  <c r="BW57" i="18"/>
  <c r="BX77" i="18" l="1"/>
  <c r="BX20" i="18"/>
  <c r="BX67" i="18"/>
  <c r="BX78" i="18"/>
  <c r="BX25" i="18"/>
  <c r="BX12" i="18"/>
  <c r="BX59" i="18"/>
  <c r="BX33" i="18"/>
  <c r="BX28" i="18"/>
  <c r="BX38" i="18"/>
  <c r="BX51" i="18"/>
  <c r="BX69" i="18"/>
  <c r="BX10" i="18"/>
  <c r="BX18" i="18"/>
  <c r="BX26" i="18"/>
  <c r="BX34" i="18"/>
  <c r="BX43" i="18"/>
  <c r="BX52" i="18"/>
  <c r="BX60" i="18"/>
  <c r="BY8" i="18"/>
  <c r="BY17" i="18" s="1"/>
  <c r="BX19" i="18"/>
  <c r="BX27" i="18"/>
  <c r="BX35" i="18"/>
  <c r="BX45" i="18"/>
  <c r="BX53" i="18"/>
  <c r="BX61" i="18"/>
  <c r="BX71" i="18"/>
  <c r="BX37" i="18"/>
  <c r="BX54" i="18"/>
  <c r="BX72" i="18"/>
  <c r="BX41" i="18"/>
  <c r="BX63" i="18"/>
  <c r="BX74" i="18"/>
  <c r="BX14" i="18"/>
  <c r="BX39" i="18"/>
  <c r="BX56" i="18"/>
  <c r="BX64" i="18"/>
  <c r="BX75" i="18"/>
  <c r="BX62" i="18"/>
  <c r="BX13" i="18"/>
  <c r="BX21" i="18"/>
  <c r="BX29" i="18"/>
  <c r="BX47" i="18"/>
  <c r="BX55" i="18"/>
  <c r="BX22" i="18"/>
  <c r="BX30" i="18"/>
  <c r="BX48" i="18"/>
  <c r="BX15" i="18"/>
  <c r="BX23" i="18"/>
  <c r="BX31" i="18"/>
  <c r="BX42" i="18"/>
  <c r="BX49" i="18"/>
  <c r="BX57" i="18"/>
  <c r="BX65" i="18"/>
  <c r="BX76" i="18"/>
  <c r="BX46" i="18"/>
  <c r="BX16" i="18"/>
  <c r="BX24" i="18"/>
  <c r="BX32" i="18"/>
  <c r="BX44" i="18"/>
  <c r="BX50" i="18"/>
  <c r="BX58" i="18"/>
  <c r="BX66" i="18"/>
  <c r="BY63" i="18" l="1"/>
  <c r="BY71" i="18"/>
  <c r="BY16" i="18"/>
  <c r="BY76" i="18"/>
  <c r="BY46" i="18"/>
  <c r="BY55" i="18"/>
  <c r="BY21" i="18"/>
  <c r="BY29" i="18"/>
  <c r="BY45" i="18"/>
  <c r="BY47" i="18"/>
  <c r="BY64" i="18"/>
  <c r="BY18" i="18"/>
  <c r="BY23" i="18"/>
  <c r="BY31" i="18"/>
  <c r="BY38" i="18"/>
  <c r="BY49" i="18"/>
  <c r="BY57" i="18"/>
  <c r="BY65" i="18"/>
  <c r="BY78" i="18"/>
  <c r="BY50" i="18"/>
  <c r="BY30" i="18"/>
  <c r="BY74" i="18"/>
  <c r="BY24" i="18"/>
  <c r="BY66" i="18"/>
  <c r="BY20" i="18"/>
  <c r="BY41" i="18"/>
  <c r="BY51" i="18"/>
  <c r="BY59" i="18"/>
  <c r="BY67" i="18"/>
  <c r="BY77" i="18"/>
  <c r="BY48" i="18"/>
  <c r="BY32" i="18"/>
  <c r="BY58" i="18"/>
  <c r="BY72" i="18"/>
  <c r="BY25" i="18"/>
  <c r="BY26" i="18"/>
  <c r="BY52" i="18"/>
  <c r="BY69" i="18"/>
  <c r="BY33" i="18"/>
  <c r="BY10" i="18"/>
  <c r="BY13" i="18"/>
  <c r="BY34" i="18"/>
  <c r="BY42" i="18"/>
  <c r="BY60" i="18"/>
  <c r="BZ8" i="18"/>
  <c r="BZ17" i="18" s="1"/>
  <c r="BY14" i="18"/>
  <c r="BY27" i="18"/>
  <c r="BY35" i="18"/>
  <c r="BY43" i="18"/>
  <c r="BY53" i="18"/>
  <c r="BY61" i="18"/>
  <c r="BY75" i="18"/>
  <c r="BY22" i="18"/>
  <c r="BY56" i="18"/>
  <c r="BY19" i="18"/>
  <c r="BY39" i="18"/>
  <c r="BY12" i="18"/>
  <c r="BY15" i="18"/>
  <c r="BY28" i="18"/>
  <c r="BY37" i="18"/>
  <c r="BY44" i="18"/>
  <c r="BY54" i="18"/>
  <c r="BY62" i="18"/>
  <c r="BZ71" i="18" l="1"/>
  <c r="BZ21" i="18"/>
  <c r="BZ46" i="18"/>
  <c r="BZ54" i="18"/>
  <c r="BZ62" i="18"/>
  <c r="BZ72" i="18"/>
  <c r="BZ15" i="18"/>
  <c r="BZ14" i="18"/>
  <c r="BZ22" i="18"/>
  <c r="BZ23" i="18"/>
  <c r="BZ56" i="18"/>
  <c r="BZ28" i="18"/>
  <c r="BZ27" i="18"/>
  <c r="BZ41" i="18"/>
  <c r="BZ49" i="18"/>
  <c r="BZ57" i="18"/>
  <c r="BZ65" i="18"/>
  <c r="BZ76" i="18"/>
  <c r="BZ30" i="18"/>
  <c r="BZ29" i="18"/>
  <c r="BZ42" i="18"/>
  <c r="BZ50" i="18"/>
  <c r="BZ58" i="18"/>
  <c r="BZ66" i="18"/>
  <c r="BZ77" i="18"/>
  <c r="BZ12" i="18"/>
  <c r="BZ38" i="18"/>
  <c r="BZ55" i="18"/>
  <c r="BZ63" i="18"/>
  <c r="BZ74" i="18"/>
  <c r="BZ13" i="18"/>
  <c r="BZ25" i="18"/>
  <c r="BZ39" i="18"/>
  <c r="BZ48" i="18"/>
  <c r="BZ64" i="18"/>
  <c r="BZ75" i="18"/>
  <c r="BZ16" i="18"/>
  <c r="BZ18" i="18"/>
  <c r="BZ32" i="18"/>
  <c r="BZ31" i="18"/>
  <c r="BZ43" i="18"/>
  <c r="BZ51" i="18"/>
  <c r="BZ59" i="18"/>
  <c r="BZ67" i="18"/>
  <c r="BZ78" i="18"/>
  <c r="BZ24" i="18"/>
  <c r="BZ47" i="18"/>
  <c r="BZ26" i="18"/>
  <c r="BZ10" i="18"/>
  <c r="BZ19" i="18"/>
  <c r="BZ34" i="18"/>
  <c r="BZ33" i="18"/>
  <c r="BZ44" i="18"/>
  <c r="BZ52" i="18"/>
  <c r="BZ60" i="18"/>
  <c r="BZ69" i="18"/>
  <c r="CA8" i="18"/>
  <c r="CA17" i="18" s="1"/>
  <c r="BZ20" i="18"/>
  <c r="BZ37" i="18"/>
  <c r="BZ35" i="18"/>
  <c r="BZ45" i="18"/>
  <c r="BZ53" i="18"/>
  <c r="BZ61" i="18"/>
  <c r="CA76" i="18" l="1"/>
  <c r="CA42" i="18"/>
  <c r="CA58" i="18"/>
  <c r="CA77" i="18"/>
  <c r="CB8" i="18"/>
  <c r="CB17" i="18" s="1"/>
  <c r="CA16" i="18"/>
  <c r="CA10" i="18"/>
  <c r="CA59" i="18"/>
  <c r="CA23" i="18"/>
  <c r="CA12" i="18"/>
  <c r="CA19" i="18"/>
  <c r="CA45" i="18"/>
  <c r="CA61" i="18"/>
  <c r="CA78" i="18"/>
  <c r="CA13" i="18"/>
  <c r="CA50" i="18"/>
  <c r="CA66" i="18"/>
  <c r="CA21" i="18"/>
  <c r="CA51" i="18"/>
  <c r="CA67" i="18"/>
  <c r="CA15" i="18"/>
  <c r="CA52" i="18"/>
  <c r="CA43" i="18"/>
  <c r="CA18" i="18"/>
  <c r="CA44" i="18"/>
  <c r="CA60" i="18"/>
  <c r="CA26" i="18"/>
  <c r="CA14" i="18"/>
  <c r="CA29" i="18"/>
  <c r="CA69" i="18"/>
  <c r="CA20" i="18"/>
  <c r="CA33" i="18"/>
  <c r="CA53" i="18"/>
  <c r="CA71" i="18"/>
  <c r="CA46" i="18"/>
  <c r="CA72" i="18"/>
  <c r="CA25" i="18"/>
  <c r="CA30" i="18"/>
  <c r="CA24" i="18"/>
  <c r="CA38" i="18"/>
  <c r="CA47" i="18"/>
  <c r="CA55" i="18"/>
  <c r="CA63" i="18"/>
  <c r="CA74" i="18"/>
  <c r="CA27" i="18"/>
  <c r="CA34" i="18"/>
  <c r="CA28" i="18"/>
  <c r="CA39" i="18"/>
  <c r="CA48" i="18"/>
  <c r="CA56" i="18"/>
  <c r="CA64" i="18"/>
  <c r="CA75" i="18"/>
  <c r="CA22" i="18"/>
  <c r="CA35" i="18"/>
  <c r="CA54" i="18"/>
  <c r="CA62" i="18"/>
  <c r="CA31" i="18"/>
  <c r="CA37" i="18"/>
  <c r="CA32" i="18"/>
  <c r="CA41" i="18"/>
  <c r="CA49" i="18"/>
  <c r="CA57" i="18"/>
  <c r="CA65" i="18"/>
  <c r="CB37" i="18" l="1"/>
  <c r="CB34" i="18"/>
  <c r="CB18" i="18"/>
  <c r="CB42" i="18"/>
  <c r="CB57" i="18"/>
  <c r="CB58" i="18"/>
  <c r="CB56" i="18"/>
  <c r="CB16" i="18"/>
  <c r="CB22" i="18"/>
  <c r="CB71" i="18"/>
  <c r="CB44" i="18"/>
  <c r="CB24" i="18"/>
  <c r="CB46" i="18"/>
  <c r="CB66" i="18"/>
  <c r="CB62" i="18"/>
  <c r="CB28" i="18"/>
  <c r="CB29" i="18"/>
  <c r="CB75" i="18"/>
  <c r="CB23" i="18"/>
  <c r="CB12" i="18"/>
  <c r="CB47" i="18"/>
  <c r="CB72" i="18"/>
  <c r="CB13" i="18"/>
  <c r="CB48" i="18"/>
  <c r="CB14" i="18"/>
  <c r="CB32" i="18"/>
  <c r="CB50" i="18"/>
  <c r="CB52" i="18"/>
  <c r="CB20" i="18"/>
  <c r="CB30" i="18"/>
  <c r="CB45" i="18"/>
  <c r="CB54" i="18"/>
  <c r="CB64" i="18"/>
  <c r="CB77" i="18"/>
  <c r="CB63" i="18"/>
  <c r="CB76" i="18"/>
  <c r="CC8" i="18"/>
  <c r="CC17" i="18" s="1"/>
  <c r="CB21" i="18"/>
  <c r="CB31" i="18"/>
  <c r="CB41" i="18"/>
  <c r="CB55" i="18"/>
  <c r="CB65" i="18"/>
  <c r="CB69" i="18"/>
  <c r="CB15" i="18"/>
  <c r="CB26" i="18"/>
  <c r="CB39" i="18"/>
  <c r="CB49" i="18"/>
  <c r="CB60" i="18"/>
  <c r="CB74" i="18"/>
  <c r="CB25" i="18"/>
  <c r="CB33" i="18"/>
  <c r="CB38" i="18"/>
  <c r="CB51" i="18"/>
  <c r="CB59" i="18"/>
  <c r="CB67" i="18"/>
  <c r="CB78" i="18"/>
  <c r="CB10" i="18"/>
  <c r="CB19" i="18"/>
  <c r="CB27" i="18"/>
  <c r="CB35" i="18"/>
  <c r="CB43" i="18"/>
  <c r="CB53" i="18"/>
  <c r="CB61" i="18"/>
  <c r="CC50" i="18" l="1"/>
  <c r="CC57" i="18"/>
  <c r="CC62" i="18"/>
  <c r="CC66" i="18"/>
  <c r="CC31" i="18"/>
  <c r="CC14" i="18"/>
  <c r="CC49" i="18"/>
  <c r="CC28" i="18"/>
  <c r="CC77" i="18"/>
  <c r="CC45" i="18"/>
  <c r="CC30" i="18"/>
  <c r="CC75" i="18"/>
  <c r="CC51" i="18"/>
  <c r="CC72" i="18"/>
  <c r="CC29" i="18"/>
  <c r="CC55" i="18"/>
  <c r="CC67" i="18"/>
  <c r="CC16" i="18"/>
  <c r="CC52" i="18"/>
  <c r="CC78" i="18"/>
  <c r="CC23" i="18"/>
  <c r="CC22" i="18"/>
  <c r="CC65" i="18"/>
  <c r="CC42" i="18"/>
  <c r="CC25" i="18"/>
  <c r="CC24" i="18"/>
  <c r="CC46" i="18"/>
  <c r="CC43" i="18"/>
  <c r="CC13" i="18"/>
  <c r="CC47" i="18"/>
  <c r="CC60" i="18"/>
  <c r="CC74" i="18"/>
  <c r="CC27" i="18"/>
  <c r="CC15" i="18"/>
  <c r="CC26" i="18"/>
  <c r="CC53" i="18"/>
  <c r="CC48" i="18"/>
  <c r="CC64" i="18"/>
  <c r="CC44" i="18"/>
  <c r="CC76" i="18"/>
  <c r="CC10" i="18"/>
  <c r="CC33" i="18"/>
  <c r="CC18" i="18"/>
  <c r="CC32" i="18"/>
  <c r="CC59" i="18"/>
  <c r="CC54" i="18"/>
  <c r="CC38" i="18"/>
  <c r="CC69" i="18"/>
  <c r="CD8" i="18"/>
  <c r="CD17" i="18" s="1"/>
  <c r="CC35" i="18"/>
  <c r="CC19" i="18"/>
  <c r="CC34" i="18"/>
  <c r="CC61" i="18"/>
  <c r="CC56" i="18"/>
  <c r="CC39" i="18"/>
  <c r="CC71" i="18"/>
  <c r="CC21" i="18"/>
  <c r="CC12" i="18"/>
  <c r="CC20" i="18"/>
  <c r="CC37" i="18"/>
  <c r="CC63" i="18"/>
  <c r="CC58" i="18"/>
  <c r="CC41" i="18"/>
  <c r="CD53" i="18" l="1"/>
  <c r="CD63" i="18"/>
  <c r="CD72" i="18"/>
  <c r="CD24" i="18"/>
  <c r="CD29" i="18"/>
  <c r="CD28" i="18"/>
  <c r="CD74" i="18"/>
  <c r="CD76" i="18"/>
  <c r="CD30" i="18"/>
  <c r="CD51" i="18"/>
  <c r="CD75" i="18"/>
  <c r="CD44" i="18"/>
  <c r="CD25" i="18"/>
  <c r="CD27" i="18"/>
  <c r="CD52" i="18"/>
  <c r="CD77" i="18"/>
  <c r="CD31" i="18"/>
  <c r="CD54" i="18"/>
  <c r="CD15" i="18"/>
  <c r="CD14" i="18"/>
  <c r="CD42" i="18"/>
  <c r="CD61" i="18"/>
  <c r="CD32" i="18"/>
  <c r="CD41" i="18"/>
  <c r="CD60" i="18"/>
  <c r="CD16" i="18"/>
  <c r="CD43" i="18"/>
  <c r="CD62" i="18"/>
  <c r="CE8" i="18"/>
  <c r="CE17" i="18" s="1"/>
  <c r="CD18" i="18"/>
  <c r="CD45" i="18"/>
  <c r="CD37" i="18"/>
  <c r="CD66" i="18"/>
  <c r="CD34" i="18"/>
  <c r="CD55" i="18"/>
  <c r="CD64" i="18"/>
  <c r="CD78" i="18"/>
  <c r="CD35" i="18"/>
  <c r="CD56" i="18"/>
  <c r="CD21" i="18"/>
  <c r="CD12" i="18"/>
  <c r="CD20" i="18"/>
  <c r="CD46" i="18"/>
  <c r="CD48" i="18"/>
  <c r="CD58" i="18"/>
  <c r="CD67" i="18"/>
  <c r="CD33" i="18"/>
  <c r="CD10" i="18"/>
  <c r="CD19" i="18"/>
  <c r="CD47" i="18"/>
  <c r="CD23" i="18"/>
  <c r="CD13" i="18"/>
  <c r="CD22" i="18"/>
  <c r="CD38" i="18"/>
  <c r="CD50" i="18"/>
  <c r="CD59" i="18"/>
  <c r="CD69" i="18"/>
  <c r="CD71" i="18"/>
  <c r="CD26" i="18"/>
  <c r="CD39" i="18"/>
  <c r="CD49" i="18"/>
  <c r="CD57" i="18"/>
  <c r="CD65" i="18"/>
  <c r="CE64" i="18" l="1"/>
  <c r="CE75" i="18"/>
  <c r="CE63" i="18"/>
  <c r="CF8" i="18"/>
  <c r="CF17" i="18" s="1"/>
  <c r="CE38" i="18"/>
  <c r="CE18" i="18"/>
  <c r="CE62" i="18"/>
  <c r="CE10" i="18"/>
  <c r="CE19" i="18"/>
  <c r="CE20" i="18"/>
  <c r="CE41" i="18"/>
  <c r="CE43" i="18"/>
  <c r="CE32" i="18"/>
  <c r="CE71" i="18"/>
  <c r="CE21" i="18"/>
  <c r="CE22" i="18"/>
  <c r="CE48" i="18"/>
  <c r="CE53" i="18"/>
  <c r="CE54" i="18"/>
  <c r="CE34" i="18"/>
  <c r="CE35" i="18"/>
  <c r="CE37" i="18"/>
  <c r="CE46" i="18"/>
  <c r="CE69" i="18"/>
  <c r="CE31" i="18"/>
  <c r="CE33" i="18"/>
  <c r="CE66" i="18"/>
  <c r="CE76" i="18"/>
  <c r="CE15" i="18"/>
  <c r="CE16" i="18"/>
  <c r="CE47" i="18"/>
  <c r="CE77" i="18"/>
  <c r="CE12" i="18"/>
  <c r="CE49" i="18"/>
  <c r="CE57" i="18"/>
  <c r="CE39" i="18"/>
  <c r="CE25" i="18"/>
  <c r="CE26" i="18"/>
  <c r="CE50" i="18"/>
  <c r="CE58" i="18"/>
  <c r="CE78" i="18"/>
  <c r="CE44" i="18"/>
  <c r="CE60" i="18"/>
  <c r="CE23" i="18"/>
  <c r="CE24" i="18"/>
  <c r="CE55" i="18"/>
  <c r="CE56" i="18"/>
  <c r="CE74" i="18"/>
  <c r="CE13" i="18"/>
  <c r="CE42" i="18"/>
  <c r="CE27" i="18"/>
  <c r="CE14" i="18"/>
  <c r="CE28" i="18"/>
  <c r="CE51" i="18"/>
  <c r="CE59" i="18"/>
  <c r="CE67" i="18"/>
  <c r="CE29" i="18"/>
  <c r="CE30" i="18"/>
  <c r="CE45" i="18"/>
  <c r="CE52" i="18"/>
  <c r="CE61" i="18"/>
  <c r="CE65" i="18"/>
  <c r="CE72" i="18"/>
  <c r="CF62" i="18" l="1"/>
  <c r="CF12" i="18"/>
  <c r="CF46" i="18"/>
  <c r="CF20" i="18"/>
  <c r="CF28" i="18"/>
  <c r="CF72" i="18"/>
  <c r="CF54" i="18"/>
  <c r="CF37" i="18"/>
  <c r="CF13" i="18"/>
  <c r="CF38" i="18"/>
  <c r="CF47" i="18"/>
  <c r="CF74" i="18"/>
  <c r="CF14" i="18"/>
  <c r="CF22" i="18"/>
  <c r="CF30" i="18"/>
  <c r="CF39" i="18"/>
  <c r="CF48" i="18"/>
  <c r="CF56" i="18"/>
  <c r="CF64" i="18"/>
  <c r="CF75" i="18"/>
  <c r="CF15" i="18"/>
  <c r="CF23" i="18"/>
  <c r="CF31" i="18"/>
  <c r="CF42" i="18"/>
  <c r="CF49" i="18"/>
  <c r="CF57" i="18"/>
  <c r="CF65" i="18"/>
  <c r="CF76" i="18"/>
  <c r="CF29" i="18"/>
  <c r="CF55" i="18"/>
  <c r="CF25" i="18"/>
  <c r="CF41" i="18"/>
  <c r="CF59" i="18"/>
  <c r="CF78" i="18"/>
  <c r="CG8" i="18"/>
  <c r="CG17" i="18" s="1"/>
  <c r="CF26" i="18"/>
  <c r="CF43" i="18"/>
  <c r="CF52" i="18"/>
  <c r="CF60" i="18"/>
  <c r="CF69" i="18"/>
  <c r="CF21" i="18"/>
  <c r="CF63" i="18"/>
  <c r="CF16" i="18"/>
  <c r="CF24" i="18"/>
  <c r="CF32" i="18"/>
  <c r="CF44" i="18"/>
  <c r="CF50" i="18"/>
  <c r="CF58" i="18"/>
  <c r="CF66" i="18"/>
  <c r="CF77" i="18"/>
  <c r="CF33" i="18"/>
  <c r="CF51" i="18"/>
  <c r="CF67" i="18"/>
  <c r="CF18" i="18"/>
  <c r="CF34" i="18"/>
  <c r="CF10" i="18"/>
  <c r="CF19" i="18"/>
  <c r="CF27" i="18"/>
  <c r="CF35" i="18"/>
  <c r="CF45" i="18"/>
  <c r="CF53" i="18"/>
  <c r="CF61" i="18"/>
  <c r="CF71" i="18"/>
  <c r="CG57" i="18" l="1"/>
  <c r="CG13" i="18"/>
  <c r="CG31" i="18"/>
  <c r="CG65" i="18"/>
  <c r="CG58" i="18"/>
  <c r="CG23" i="18"/>
  <c r="CG59" i="18"/>
  <c r="CG32" i="18"/>
  <c r="CG46" i="18"/>
  <c r="CG39" i="18"/>
  <c r="CG74" i="18"/>
  <c r="CG16" i="18"/>
  <c r="CG41" i="18"/>
  <c r="CG19" i="18"/>
  <c r="CG49" i="18"/>
  <c r="CG22" i="18"/>
  <c r="CG42" i="18"/>
  <c r="CG66" i="18"/>
  <c r="CG24" i="18"/>
  <c r="CG50" i="18"/>
  <c r="CG69" i="18"/>
  <c r="CG30" i="18"/>
  <c r="CG51" i="18"/>
  <c r="CG75" i="18"/>
  <c r="CG33" i="18"/>
  <c r="CG52" i="18"/>
  <c r="CG72" i="18"/>
  <c r="CG78" i="18"/>
  <c r="CG14" i="18"/>
  <c r="CG77" i="18"/>
  <c r="CG43" i="18"/>
  <c r="CG60" i="18"/>
  <c r="CH8" i="18"/>
  <c r="CH17" i="18" s="1"/>
  <c r="CG34" i="18"/>
  <c r="CG53" i="18"/>
  <c r="CG10" i="18"/>
  <c r="CG27" i="18"/>
  <c r="CG45" i="18"/>
  <c r="CG62" i="18"/>
  <c r="CG71" i="18"/>
  <c r="CG28" i="18"/>
  <c r="CG47" i="18"/>
  <c r="CG63" i="18"/>
  <c r="CG76" i="18"/>
  <c r="CG25" i="18"/>
  <c r="CG26" i="18"/>
  <c r="CG44" i="18"/>
  <c r="CG61" i="18"/>
  <c r="CG12" i="18"/>
  <c r="CG35" i="18"/>
  <c r="CG54" i="18"/>
  <c r="CG15" i="18"/>
  <c r="CG20" i="18"/>
  <c r="CG37" i="18"/>
  <c r="CG55" i="18"/>
  <c r="CG18" i="18"/>
  <c r="CG21" i="18"/>
  <c r="CG29" i="18"/>
  <c r="CG38" i="18"/>
  <c r="CG48" i="18"/>
  <c r="CG56" i="18"/>
  <c r="CG64" i="18"/>
  <c r="CG67" i="18"/>
  <c r="CH54" i="18" l="1"/>
  <c r="CH15" i="18"/>
  <c r="CH21" i="18"/>
  <c r="CH55" i="18"/>
  <c r="CH57" i="18"/>
  <c r="CH16" i="18"/>
  <c r="CH22" i="18"/>
  <c r="CH46" i="18"/>
  <c r="CH20" i="18"/>
  <c r="CH69" i="18"/>
  <c r="CH74" i="18"/>
  <c r="CH13" i="18"/>
  <c r="CH65" i="18"/>
  <c r="CH39" i="18"/>
  <c r="CH41" i="18"/>
  <c r="CH32" i="18"/>
  <c r="CH62" i="18"/>
  <c r="CH76" i="18"/>
  <c r="CI8" i="18"/>
  <c r="CI17" i="18" s="1"/>
  <c r="CH33" i="18"/>
  <c r="CH37" i="18"/>
  <c r="CH49" i="18"/>
  <c r="CH63" i="18"/>
  <c r="CH31" i="18"/>
  <c r="CH48" i="18"/>
  <c r="CH12" i="18"/>
  <c r="CH35" i="18"/>
  <c r="CH38" i="18"/>
  <c r="CH52" i="18"/>
  <c r="CH64" i="18"/>
  <c r="CH14" i="18"/>
  <c r="CH44" i="18"/>
  <c r="CH56" i="18"/>
  <c r="CH72" i="18"/>
  <c r="CH29" i="18"/>
  <c r="CH26" i="18"/>
  <c r="CH47" i="18"/>
  <c r="CH60" i="18"/>
  <c r="CH75" i="18"/>
  <c r="CH18" i="18"/>
  <c r="CH23" i="18"/>
  <c r="CH28" i="18"/>
  <c r="CH42" i="18"/>
  <c r="CH50" i="18"/>
  <c r="CH58" i="18"/>
  <c r="CH66" i="18"/>
  <c r="CH77" i="18"/>
  <c r="CH19" i="18"/>
  <c r="CH25" i="18"/>
  <c r="CH30" i="18"/>
  <c r="CH43" i="18"/>
  <c r="CH51" i="18"/>
  <c r="CH59" i="18"/>
  <c r="CH67" i="18"/>
  <c r="CH78" i="18"/>
  <c r="CH10" i="18"/>
  <c r="CH24" i="18"/>
  <c r="CH27" i="18"/>
  <c r="CH34" i="18"/>
  <c r="CH45" i="18"/>
  <c r="CH53" i="18"/>
  <c r="CH61" i="18"/>
  <c r="CH71" i="18"/>
  <c r="CI76" i="18" l="1"/>
  <c r="CI62" i="18"/>
  <c r="CI20" i="18"/>
  <c r="CI16" i="18"/>
  <c r="CI53" i="18"/>
  <c r="CI43" i="18"/>
  <c r="CI31" i="18"/>
  <c r="CI78" i="18"/>
  <c r="CI69" i="18"/>
  <c r="CI22" i="18"/>
  <c r="CI35" i="18"/>
  <c r="CI63" i="18"/>
  <c r="CI77" i="18"/>
  <c r="CI24" i="18"/>
  <c r="CI46" i="18"/>
  <c r="CI64" i="18"/>
  <c r="CJ8" i="18"/>
  <c r="CJ17" i="18" s="1"/>
  <c r="CI29" i="18"/>
  <c r="CI47" i="18"/>
  <c r="CI65" i="18"/>
  <c r="CI67" i="18"/>
  <c r="CI12" i="18"/>
  <c r="CI30" i="18"/>
  <c r="CI48" i="18"/>
  <c r="CI57" i="18"/>
  <c r="CI54" i="18"/>
  <c r="CI44" i="18"/>
  <c r="CI19" i="18"/>
  <c r="CI55" i="18"/>
  <c r="CI45" i="18"/>
  <c r="CI28" i="18"/>
  <c r="CI56" i="18"/>
  <c r="CI21" i="18"/>
  <c r="CI66" i="18"/>
  <c r="CI13" i="18"/>
  <c r="CI32" i="18"/>
  <c r="CI23" i="18"/>
  <c r="CI49" i="18"/>
  <c r="CI58" i="18"/>
  <c r="CI38" i="18"/>
  <c r="CI72" i="18"/>
  <c r="CI14" i="18"/>
  <c r="CI34" i="18"/>
  <c r="CI25" i="18"/>
  <c r="CI50" i="18"/>
  <c r="CI59" i="18"/>
  <c r="CI41" i="18"/>
  <c r="CI74" i="18"/>
  <c r="CI15" i="18"/>
  <c r="CI37" i="18"/>
  <c r="CI27" i="18"/>
  <c r="CI51" i="18"/>
  <c r="CI61" i="18"/>
  <c r="CI42" i="18"/>
  <c r="CI75" i="18"/>
  <c r="CI10" i="18"/>
  <c r="CI26" i="18"/>
  <c r="CI18" i="18"/>
  <c r="CI33" i="18"/>
  <c r="CI52" i="18"/>
  <c r="CI60" i="18"/>
  <c r="CI39" i="18"/>
  <c r="CI71" i="18"/>
  <c r="CJ61" i="18" l="1"/>
  <c r="CJ35" i="18"/>
  <c r="CJ37" i="18"/>
  <c r="CJ71" i="18"/>
  <c r="CJ67" i="18"/>
  <c r="CJ10" i="18"/>
  <c r="CK8" i="18"/>
  <c r="CK17" i="18" s="1"/>
  <c r="CJ41" i="18"/>
  <c r="CJ72" i="18"/>
  <c r="CJ51" i="18"/>
  <c r="CJ18" i="18"/>
  <c r="CJ44" i="18"/>
  <c r="CJ22" i="18"/>
  <c r="CJ25" i="18"/>
  <c r="CJ53" i="18"/>
  <c r="CJ26" i="18"/>
  <c r="CJ54" i="18"/>
  <c r="CJ12" i="18"/>
  <c r="CJ30" i="18"/>
  <c r="CJ14" i="18"/>
  <c r="CJ27" i="18"/>
  <c r="CJ45" i="18"/>
  <c r="CJ56" i="18"/>
  <c r="CJ75" i="18"/>
  <c r="CJ28" i="18"/>
  <c r="CJ39" i="18"/>
  <c r="CJ59" i="18"/>
  <c r="CJ78" i="18"/>
  <c r="CJ19" i="18"/>
  <c r="CJ33" i="18"/>
  <c r="CJ46" i="18"/>
  <c r="CJ62" i="18"/>
  <c r="CJ20" i="18"/>
  <c r="CJ34" i="18"/>
  <c r="CJ48" i="18"/>
  <c r="CJ64" i="18"/>
  <c r="CJ52" i="18"/>
  <c r="CJ60" i="18"/>
  <c r="CJ69" i="18"/>
  <c r="CJ13" i="18"/>
  <c r="CJ21" i="18"/>
  <c r="CJ29" i="18"/>
  <c r="CJ38" i="18"/>
  <c r="CJ47" i="18"/>
  <c r="CJ55" i="18"/>
  <c r="CJ63" i="18"/>
  <c r="CJ74" i="18"/>
  <c r="CJ15" i="18"/>
  <c r="CJ23" i="18"/>
  <c r="CJ31" i="18"/>
  <c r="CJ43" i="18"/>
  <c r="CJ49" i="18"/>
  <c r="CJ57" i="18"/>
  <c r="CJ65" i="18"/>
  <c r="CJ76" i="18"/>
  <c r="CJ16" i="18"/>
  <c r="CJ24" i="18"/>
  <c r="CJ32" i="18"/>
  <c r="CJ42" i="18"/>
  <c r="CJ50" i="18"/>
  <c r="CJ58" i="18"/>
  <c r="CJ66" i="18"/>
  <c r="CJ77" i="18"/>
  <c r="CK21" i="18" l="1"/>
  <c r="CK51" i="18"/>
  <c r="CK64" i="18"/>
  <c r="CK71" i="18"/>
  <c r="CK22" i="18"/>
  <c r="CK28" i="18"/>
  <c r="CK16" i="18"/>
  <c r="CK61" i="18"/>
  <c r="CK46" i="18"/>
  <c r="CK48" i="18"/>
  <c r="CK24" i="18"/>
  <c r="CK18" i="18"/>
  <c r="CK50" i="18"/>
  <c r="CK63" i="18"/>
  <c r="CK67" i="18"/>
  <c r="CK53" i="18"/>
  <c r="CK74" i="18"/>
  <c r="CK34" i="18"/>
  <c r="CK38" i="18"/>
  <c r="CK75" i="18"/>
  <c r="CK27" i="18"/>
  <c r="CK56" i="18"/>
  <c r="CK41" i="18"/>
  <c r="CK77" i="18"/>
  <c r="CK55" i="18"/>
  <c r="CK12" i="18"/>
  <c r="CK29" i="18"/>
  <c r="CK13" i="18"/>
  <c r="CK33" i="18"/>
  <c r="CK58" i="18"/>
  <c r="CK43" i="18"/>
  <c r="CK78" i="18"/>
  <c r="CK30" i="18"/>
  <c r="CK23" i="18"/>
  <c r="CK66" i="18"/>
  <c r="CK10" i="18"/>
  <c r="CK15" i="18"/>
  <c r="CK47" i="18"/>
  <c r="CK59" i="18"/>
  <c r="CK44" i="18"/>
  <c r="CL8" i="18"/>
  <c r="CL17" i="18" s="1"/>
  <c r="CK32" i="18"/>
  <c r="CK31" i="18"/>
  <c r="CK52" i="18"/>
  <c r="CK60" i="18"/>
  <c r="CK39" i="18"/>
  <c r="CK69" i="18"/>
  <c r="CK20" i="18"/>
  <c r="CK37" i="18"/>
  <c r="CK19" i="18"/>
  <c r="CK35" i="18"/>
  <c r="CK54" i="18"/>
  <c r="CK62" i="18"/>
  <c r="CK42" i="18"/>
  <c r="CK72" i="18"/>
  <c r="CK26" i="18"/>
  <c r="CK14" i="18"/>
  <c r="CK25" i="18"/>
  <c r="CK49" i="18"/>
  <c r="CK57" i="18"/>
  <c r="CK65" i="18"/>
  <c r="CK45" i="18"/>
  <c r="CK76" i="18"/>
  <c r="CL30" i="18" l="1"/>
  <c r="CL43" i="18"/>
  <c r="CM8" i="18"/>
  <c r="CL44" i="18"/>
  <c r="CL51" i="18"/>
  <c r="CL32" i="18"/>
  <c r="CL59" i="18"/>
  <c r="CL12" i="18"/>
  <c r="CL15" i="18"/>
  <c r="CL60" i="18"/>
  <c r="CL52" i="18"/>
  <c r="CL29" i="18"/>
  <c r="CL71" i="18"/>
  <c r="CL31" i="18"/>
  <c r="CL72" i="18"/>
  <c r="CL16" i="18"/>
  <c r="CL37" i="18"/>
  <c r="CL19" i="18"/>
  <c r="CL35" i="18"/>
  <c r="CL46" i="18"/>
  <c r="CL54" i="18"/>
  <c r="CL62" i="18"/>
  <c r="CL78" i="18"/>
  <c r="CL34" i="18"/>
  <c r="CL61" i="18"/>
  <c r="CL21" i="18"/>
  <c r="CL38" i="18"/>
  <c r="CL47" i="18"/>
  <c r="CL55" i="18"/>
  <c r="CL63" i="18"/>
  <c r="CL33" i="18"/>
  <c r="CL74" i="18"/>
  <c r="CL22" i="18"/>
  <c r="CL24" i="18"/>
  <c r="CL18" i="18"/>
  <c r="CL23" i="18"/>
  <c r="CL39" i="18"/>
  <c r="CL48" i="18"/>
  <c r="CL56" i="18"/>
  <c r="CL64" i="18"/>
  <c r="CL45" i="18"/>
  <c r="CL20" i="18"/>
  <c r="CL26" i="18"/>
  <c r="CL13" i="18"/>
  <c r="CL25" i="18"/>
  <c r="CL41" i="18"/>
  <c r="CL49" i="18"/>
  <c r="CL57" i="18"/>
  <c r="CL67" i="18"/>
  <c r="CL10" i="18"/>
  <c r="CL53" i="18"/>
  <c r="CL28" i="18"/>
  <c r="CL14" i="18"/>
  <c r="CL27" i="18"/>
  <c r="CL42" i="18"/>
  <c r="CL50" i="18"/>
  <c r="CL58" i="18"/>
  <c r="CL69" i="18"/>
  <c r="CL75" i="18"/>
  <c r="CL65" i="18"/>
  <c r="CL76" i="18"/>
  <c r="CL66" i="18"/>
  <c r="CL77" i="18"/>
  <c r="CM34" i="18" l="1"/>
  <c r="CM17" i="18"/>
  <c r="CM47" i="18"/>
  <c r="CM65" i="18"/>
  <c r="CM69" i="18"/>
  <c r="CM24" i="18"/>
  <c r="CM28" i="18"/>
  <c r="CM63" i="18"/>
  <c r="CM43" i="18"/>
  <c r="CM12" i="18"/>
  <c r="CM60" i="18"/>
  <c r="CM45" i="18"/>
  <c r="CM19" i="18"/>
  <c r="CM23" i="18"/>
  <c r="CM62" i="18"/>
  <c r="CM49" i="18"/>
  <c r="CM75" i="18"/>
  <c r="CM30" i="18"/>
  <c r="CM64" i="18"/>
  <c r="CM25" i="18"/>
  <c r="CM27" i="18"/>
  <c r="CM66" i="18"/>
  <c r="CM55" i="18"/>
  <c r="CM78" i="18"/>
  <c r="CM13" i="18"/>
  <c r="CM48" i="18"/>
  <c r="CM32" i="18"/>
  <c r="CM50" i="18"/>
  <c r="CM29" i="18"/>
  <c r="CM72" i="18"/>
  <c r="CM10" i="18"/>
  <c r="CM26" i="18"/>
  <c r="CM16" i="18"/>
  <c r="CM31" i="18"/>
  <c r="CM57" i="18"/>
  <c r="CM46" i="18"/>
  <c r="CM54" i="18"/>
  <c r="CM77" i="18"/>
  <c r="CM39" i="18"/>
  <c r="CM67" i="18"/>
  <c r="CM53" i="18"/>
  <c r="CM74" i="18"/>
  <c r="CM15" i="18"/>
  <c r="CM52" i="18"/>
  <c r="CM20" i="18"/>
  <c r="CM33" i="18"/>
  <c r="CM59" i="18"/>
  <c r="CM38" i="18"/>
  <c r="CM56" i="18"/>
  <c r="CM71" i="18"/>
  <c r="CM51" i="18"/>
  <c r="CM14" i="18"/>
  <c r="CM42" i="18"/>
  <c r="CM37" i="18"/>
  <c r="CM44" i="18"/>
  <c r="CN8" i="18"/>
  <c r="CN17" i="18" s="1"/>
  <c r="CM21" i="18"/>
  <c r="CM22" i="18"/>
  <c r="CM18" i="18"/>
  <c r="CM35" i="18"/>
  <c r="CM61" i="18"/>
  <c r="CM41" i="18"/>
  <c r="CM58" i="18"/>
  <c r="CM76" i="18"/>
  <c r="CN69" i="18" l="1"/>
  <c r="CO8" i="18"/>
  <c r="CO17" i="18" s="1"/>
  <c r="CN18" i="18"/>
  <c r="CN44" i="18"/>
  <c r="CN26" i="18"/>
  <c r="CN52" i="18"/>
  <c r="CN34" i="18"/>
  <c r="CN60" i="18"/>
  <c r="CN19" i="18"/>
  <c r="CN27" i="18"/>
  <c r="CN45" i="18"/>
  <c r="CN71" i="18"/>
  <c r="CN12" i="18"/>
  <c r="CN20" i="18"/>
  <c r="CN28" i="18"/>
  <c r="CN37" i="18"/>
  <c r="CN46" i="18"/>
  <c r="CN54" i="18"/>
  <c r="CN62" i="18"/>
  <c r="CN72" i="18"/>
  <c r="CN10" i="18"/>
  <c r="CN35" i="18"/>
  <c r="CN53" i="18"/>
  <c r="CN61" i="18"/>
  <c r="CN13" i="18"/>
  <c r="CN21" i="18"/>
  <c r="CN29" i="18"/>
  <c r="CN38" i="18"/>
  <c r="CN47" i="18"/>
  <c r="CN55" i="18"/>
  <c r="CN63" i="18"/>
  <c r="CN74" i="18"/>
  <c r="CN30" i="18"/>
  <c r="CN48" i="18"/>
  <c r="CN22" i="18"/>
  <c r="CN64" i="18"/>
  <c r="CN23" i="18"/>
  <c r="CN43" i="18"/>
  <c r="CN57" i="18"/>
  <c r="CN76" i="18"/>
  <c r="CN16" i="18"/>
  <c r="CN24" i="18"/>
  <c r="CN32" i="18"/>
  <c r="CN39" i="18"/>
  <c r="CN50" i="18"/>
  <c r="CN58" i="18"/>
  <c r="CN66" i="18"/>
  <c r="CN77" i="18"/>
  <c r="CN14" i="18"/>
  <c r="CN41" i="18"/>
  <c r="CN56" i="18"/>
  <c r="CN75" i="18"/>
  <c r="CN15" i="18"/>
  <c r="CN31" i="18"/>
  <c r="CN49" i="18"/>
  <c r="CN65" i="18"/>
  <c r="CN25" i="18"/>
  <c r="CN33" i="18"/>
  <c r="CN42" i="18"/>
  <c r="CN51" i="18"/>
  <c r="CN59" i="18"/>
  <c r="CN67" i="18"/>
  <c r="CN78" i="18"/>
  <c r="CO33" i="18" l="1"/>
  <c r="CO59" i="18"/>
  <c r="CO28" i="18"/>
  <c r="CO58" i="18"/>
  <c r="CO62" i="18"/>
  <c r="CO12" i="18"/>
  <c r="CO41" i="18"/>
  <c r="CO67" i="18"/>
  <c r="CO37" i="18"/>
  <c r="CO46" i="18"/>
  <c r="CO18" i="18"/>
  <c r="CO42" i="18"/>
  <c r="CO74" i="18"/>
  <c r="CO75" i="18"/>
  <c r="CO20" i="18"/>
  <c r="CO69" i="18"/>
  <c r="CO24" i="18"/>
  <c r="CO51" i="18"/>
  <c r="CO25" i="18"/>
  <c r="CO54" i="18"/>
  <c r="CO15" i="18"/>
  <c r="CO30" i="18"/>
  <c r="CO48" i="18"/>
  <c r="CO64" i="18"/>
  <c r="CO32" i="18"/>
  <c r="CO50" i="18"/>
  <c r="CO66" i="18"/>
  <c r="CO22" i="18"/>
  <c r="CO38" i="18"/>
  <c r="CO56" i="18"/>
  <c r="CO71" i="18"/>
  <c r="CP8" i="18"/>
  <c r="CO19" i="18"/>
  <c r="CO26" i="18"/>
  <c r="CO34" i="18"/>
  <c r="CO43" i="18"/>
  <c r="CO52" i="18"/>
  <c r="CO60" i="18"/>
  <c r="CO72" i="18"/>
  <c r="CO10" i="18"/>
  <c r="CO13" i="18"/>
  <c r="CO27" i="18"/>
  <c r="CO35" i="18"/>
  <c r="CO44" i="18"/>
  <c r="CO53" i="18"/>
  <c r="CO61" i="18"/>
  <c r="CO77" i="18"/>
  <c r="CO14" i="18"/>
  <c r="CO21" i="18"/>
  <c r="CO29" i="18"/>
  <c r="CO45" i="18"/>
  <c r="CO47" i="18"/>
  <c r="CO55" i="18"/>
  <c r="CO63" i="18"/>
  <c r="CO78" i="18"/>
  <c r="CO16" i="18"/>
  <c r="CO23" i="18"/>
  <c r="CO31" i="18"/>
  <c r="CO39" i="18"/>
  <c r="CO49" i="18"/>
  <c r="CO57" i="18"/>
  <c r="CO65" i="18"/>
  <c r="CO76" i="18"/>
  <c r="CP43" i="18" l="1"/>
  <c r="CP17" i="18"/>
  <c r="CP61" i="18"/>
  <c r="CQ8" i="18"/>
  <c r="CP28" i="18"/>
  <c r="CP18" i="18"/>
  <c r="CP69" i="18"/>
  <c r="CP19" i="18"/>
  <c r="CP71" i="18"/>
  <c r="CP10" i="18"/>
  <c r="CP42" i="18"/>
  <c r="CP31" i="18"/>
  <c r="CP33" i="18"/>
  <c r="CP53" i="18"/>
  <c r="CP52" i="18"/>
  <c r="CP26" i="18"/>
  <c r="CP60" i="18"/>
  <c r="CP30" i="18"/>
  <c r="CP62" i="18"/>
  <c r="CP32" i="18"/>
  <c r="CP47" i="18"/>
  <c r="CP55" i="18"/>
  <c r="CP63" i="18"/>
  <c r="CP74" i="18"/>
  <c r="CP23" i="18"/>
  <c r="CP14" i="18"/>
  <c r="CP34" i="18"/>
  <c r="CP46" i="18"/>
  <c r="CP48" i="18"/>
  <c r="CP56" i="18"/>
  <c r="CP64" i="18"/>
  <c r="CP75" i="18"/>
  <c r="CP54" i="18"/>
  <c r="CP13" i="18"/>
  <c r="CP44" i="18"/>
  <c r="CP21" i="18"/>
  <c r="CP45" i="18"/>
  <c r="CP20" i="18"/>
  <c r="CP49" i="18"/>
  <c r="CP76" i="18"/>
  <c r="CP22" i="18"/>
  <c r="CP39" i="18"/>
  <c r="CP66" i="18"/>
  <c r="CP77" i="18"/>
  <c r="CP35" i="18"/>
  <c r="CP12" i="18"/>
  <c r="CP72" i="18"/>
  <c r="CP15" i="18"/>
  <c r="CP25" i="18"/>
  <c r="CP37" i="18"/>
  <c r="CP38" i="18"/>
  <c r="CP57" i="18"/>
  <c r="CP65" i="18"/>
  <c r="CP27" i="18"/>
  <c r="CP16" i="18"/>
  <c r="CP50" i="18"/>
  <c r="CP58" i="18"/>
  <c r="CP29" i="18"/>
  <c r="CP24" i="18"/>
  <c r="CP41" i="18"/>
  <c r="CP51" i="18"/>
  <c r="CP59" i="18"/>
  <c r="CP67" i="18"/>
  <c r="CP78" i="18"/>
  <c r="CQ54" i="18" l="1"/>
  <c r="CQ17" i="18"/>
  <c r="CQ25" i="18"/>
  <c r="CQ62" i="18"/>
  <c r="CQ72" i="18"/>
  <c r="CQ24" i="18"/>
  <c r="CQ15" i="18"/>
  <c r="CQ19" i="18"/>
  <c r="CQ44" i="18"/>
  <c r="CQ27" i="18"/>
  <c r="CQ55" i="18"/>
  <c r="CQ29" i="18"/>
  <c r="CQ28" i="18"/>
  <c r="CQ46" i="18"/>
  <c r="CQ48" i="18"/>
  <c r="CQ56" i="18"/>
  <c r="CQ64" i="18"/>
  <c r="CQ75" i="18"/>
  <c r="CQ26" i="18"/>
  <c r="CQ47" i="18"/>
  <c r="CQ74" i="18"/>
  <c r="CQ12" i="18"/>
  <c r="CQ38" i="18"/>
  <c r="CQ65" i="18"/>
  <c r="CQ32" i="18"/>
  <c r="CQ58" i="18"/>
  <c r="CQ14" i="18"/>
  <c r="CQ34" i="18"/>
  <c r="CQ41" i="18"/>
  <c r="CQ51" i="18"/>
  <c r="CQ59" i="18"/>
  <c r="CQ67" i="18"/>
  <c r="CQ78" i="18"/>
  <c r="CQ45" i="18"/>
  <c r="CQ63" i="18"/>
  <c r="CQ31" i="18"/>
  <c r="CQ49" i="18"/>
  <c r="CQ76" i="18"/>
  <c r="CQ33" i="18"/>
  <c r="CQ50" i="18"/>
  <c r="CQ77" i="18"/>
  <c r="CQ35" i="18"/>
  <c r="CQ10" i="18"/>
  <c r="CQ21" i="18"/>
  <c r="CQ20" i="18"/>
  <c r="CQ37" i="18"/>
  <c r="CQ42" i="18"/>
  <c r="CQ52" i="18"/>
  <c r="CQ60" i="18"/>
  <c r="CQ69" i="18"/>
  <c r="CQ16" i="18"/>
  <c r="CQ30" i="18"/>
  <c r="CQ57" i="18"/>
  <c r="CQ13" i="18"/>
  <c r="CQ39" i="18"/>
  <c r="CQ66" i="18"/>
  <c r="CR8" i="18"/>
  <c r="CQ23" i="18"/>
  <c r="CQ22" i="18"/>
  <c r="CQ18" i="18"/>
  <c r="CQ43" i="18"/>
  <c r="CQ53" i="18"/>
  <c r="CQ61" i="18"/>
  <c r="CQ71" i="18"/>
  <c r="CR27" i="18" l="1"/>
  <c r="CR17" i="18"/>
  <c r="CR24" i="18"/>
  <c r="CR41" i="18"/>
  <c r="CR43" i="18"/>
  <c r="CR66" i="18"/>
  <c r="CR61" i="18"/>
  <c r="CS8" i="18"/>
  <c r="CS17" i="18" s="1"/>
  <c r="CR71" i="18"/>
  <c r="CR25" i="18"/>
  <c r="CR50" i="18"/>
  <c r="CR33" i="18"/>
  <c r="CR53" i="18"/>
  <c r="CR18" i="18"/>
  <c r="CR34" i="18"/>
  <c r="CR58" i="18"/>
  <c r="CR19" i="18"/>
  <c r="CR35" i="18"/>
  <c r="CR59" i="18"/>
  <c r="CR10" i="18"/>
  <c r="CR26" i="18"/>
  <c r="CR45" i="18"/>
  <c r="CR67" i="18"/>
  <c r="CR16" i="18"/>
  <c r="CR32" i="18"/>
  <c r="CR51" i="18"/>
  <c r="CR77" i="18"/>
  <c r="CR78" i="18"/>
  <c r="CR44" i="18"/>
  <c r="CR52" i="18"/>
  <c r="CR60" i="18"/>
  <c r="CR69" i="18"/>
  <c r="CR46" i="18"/>
  <c r="CR54" i="18"/>
  <c r="CR62" i="18"/>
  <c r="CR72" i="18"/>
  <c r="CR12" i="18"/>
  <c r="CR37" i="18"/>
  <c r="CR21" i="18"/>
  <c r="CR29" i="18"/>
  <c r="CR39" i="18"/>
  <c r="CR47" i="18"/>
  <c r="CR55" i="18"/>
  <c r="CR63" i="18"/>
  <c r="CR74" i="18"/>
  <c r="CR28" i="18"/>
  <c r="CR14" i="18"/>
  <c r="CR30" i="18"/>
  <c r="CR42" i="18"/>
  <c r="CR48" i="18"/>
  <c r="CR56" i="18"/>
  <c r="CR64" i="18"/>
  <c r="CR75" i="18"/>
  <c r="CR20" i="18"/>
  <c r="CR13" i="18"/>
  <c r="CR22" i="18"/>
  <c r="CR15" i="18"/>
  <c r="CR23" i="18"/>
  <c r="CR31" i="18"/>
  <c r="CR38" i="18"/>
  <c r="CR49" i="18"/>
  <c r="CR57" i="18"/>
  <c r="CR65" i="18"/>
  <c r="CR76" i="18"/>
  <c r="CS52" i="18" l="1"/>
  <c r="CS14" i="18"/>
  <c r="CS35" i="18"/>
  <c r="CS34" i="18"/>
  <c r="CS37" i="18"/>
  <c r="CS72" i="18"/>
  <c r="CS10" i="18"/>
  <c r="CS51" i="18"/>
  <c r="CS15" i="18"/>
  <c r="CS53" i="18"/>
  <c r="CS20" i="18"/>
  <c r="CS39" i="18"/>
  <c r="CS21" i="18"/>
  <c r="CS58" i="18"/>
  <c r="CS71" i="18"/>
  <c r="CS38" i="18"/>
  <c r="CS48" i="18"/>
  <c r="CS55" i="18"/>
  <c r="CS62" i="18"/>
  <c r="CS41" i="18"/>
  <c r="CS74" i="18"/>
  <c r="CS24" i="18"/>
  <c r="CS42" i="18"/>
  <c r="CS75" i="18"/>
  <c r="CS16" i="18"/>
  <c r="CS54" i="18"/>
  <c r="CS18" i="18"/>
  <c r="CS27" i="18"/>
  <c r="CS26" i="18"/>
  <c r="CS60" i="18"/>
  <c r="CS59" i="18"/>
  <c r="CS56" i="18"/>
  <c r="CS43" i="18"/>
  <c r="CS76" i="18"/>
  <c r="CS22" i="18"/>
  <c r="CS25" i="18"/>
  <c r="CS19" i="18"/>
  <c r="CS29" i="18"/>
  <c r="CS28" i="18"/>
  <c r="CS64" i="18"/>
  <c r="CS61" i="18"/>
  <c r="CS66" i="18"/>
  <c r="CS44" i="18"/>
  <c r="CS77" i="18"/>
  <c r="CS50" i="18"/>
  <c r="CS31" i="18"/>
  <c r="CS47" i="18"/>
  <c r="CS45" i="18"/>
  <c r="CS67" i="18"/>
  <c r="CS23" i="18"/>
  <c r="CS57" i="18"/>
  <c r="CS12" i="18"/>
  <c r="CS30" i="18"/>
  <c r="CS63" i="18"/>
  <c r="CS78" i="18"/>
  <c r="CT8" i="18"/>
  <c r="CT17" i="18" s="1"/>
  <c r="CS13" i="18"/>
  <c r="CS33" i="18"/>
  <c r="CS32" i="18"/>
  <c r="CS49" i="18"/>
  <c r="CS65" i="18"/>
  <c r="CS46" i="18"/>
  <c r="CS69" i="18"/>
  <c r="CT69" i="18" l="1"/>
  <c r="CT34" i="18"/>
  <c r="CT39" i="18"/>
  <c r="CT77" i="18"/>
  <c r="CT42" i="18"/>
  <c r="CT50" i="18"/>
  <c r="CT52" i="18"/>
  <c r="CT19" i="18"/>
  <c r="CT21" i="18"/>
  <c r="CT35" i="18"/>
  <c r="CT58" i="18"/>
  <c r="CT13" i="18"/>
  <c r="CT60" i="18"/>
  <c r="CT7" i="18"/>
  <c r="CT30" i="18"/>
  <c r="CT66" i="18"/>
  <c r="CT14" i="18"/>
  <c r="CT12" i="18"/>
  <c r="CT32" i="18"/>
  <c r="CT41" i="18"/>
  <c r="CT51" i="18"/>
  <c r="CT59" i="18"/>
  <c r="CT67" i="18"/>
  <c r="CT78" i="18"/>
  <c r="CT43" i="18"/>
  <c r="CT61" i="18"/>
  <c r="CT71" i="18"/>
  <c r="CU8" i="18"/>
  <c r="CU17" i="18" s="1"/>
  <c r="CT20" i="18"/>
  <c r="CT22" i="18"/>
  <c r="CT62" i="18"/>
  <c r="CT37" i="18"/>
  <c r="CT15" i="18"/>
  <c r="CT44" i="18"/>
  <c r="CT16" i="18"/>
  <c r="CT29" i="18"/>
  <c r="CT24" i="18"/>
  <c r="CT45" i="18"/>
  <c r="CT47" i="18"/>
  <c r="CT55" i="18"/>
  <c r="CT63" i="18"/>
  <c r="CT74" i="18"/>
  <c r="CT23" i="18"/>
  <c r="CT27" i="18"/>
  <c r="CT54" i="18"/>
  <c r="CT31" i="18"/>
  <c r="CT46" i="18"/>
  <c r="CT48" i="18"/>
  <c r="CT56" i="18"/>
  <c r="CT64" i="18"/>
  <c r="CT75" i="18"/>
  <c r="CT25" i="18"/>
  <c r="CT53" i="18"/>
  <c r="CT10" i="18"/>
  <c r="CT72" i="18"/>
  <c r="CT26" i="18"/>
  <c r="CT18" i="18"/>
  <c r="CT33" i="18"/>
  <c r="CT28" i="18"/>
  <c r="CT38" i="18"/>
  <c r="CT49" i="18"/>
  <c r="CT57" i="18"/>
  <c r="CT65" i="18"/>
  <c r="CT76" i="18"/>
  <c r="CU45" i="18" l="1"/>
  <c r="CU21" i="18"/>
  <c r="CU44" i="18"/>
  <c r="CU51" i="18"/>
  <c r="CU56" i="18"/>
  <c r="CV8" i="18"/>
  <c r="CV17" i="18" s="1"/>
  <c r="CU42" i="18"/>
  <c r="CU66" i="18"/>
  <c r="CU26" i="18"/>
  <c r="CU59" i="18"/>
  <c r="CU58" i="18"/>
  <c r="CU46" i="18"/>
  <c r="CU39" i="18"/>
  <c r="CU10" i="18"/>
  <c r="CU22" i="18"/>
  <c r="CU64" i="18"/>
  <c r="CU13" i="18"/>
  <c r="CU76" i="18"/>
  <c r="CU28" i="18"/>
  <c r="CU72" i="18"/>
  <c r="CU61" i="18"/>
  <c r="CU32" i="18"/>
  <c r="CU14" i="18"/>
  <c r="CU57" i="18"/>
  <c r="CU48" i="18"/>
  <c r="CU24" i="18"/>
  <c r="CU27" i="18"/>
  <c r="CU34" i="18"/>
  <c r="CU41" i="18"/>
  <c r="CU69" i="18"/>
  <c r="CU75" i="18"/>
  <c r="CU77" i="18"/>
  <c r="CU55" i="18"/>
  <c r="CU19" i="18"/>
  <c r="CU35" i="18"/>
  <c r="CU38" i="18"/>
  <c r="CU60" i="18"/>
  <c r="CU25" i="18"/>
  <c r="CU18" i="18"/>
  <c r="CU23" i="18"/>
  <c r="CU49" i="18"/>
  <c r="CU63" i="18"/>
  <c r="CU54" i="18"/>
  <c r="CU30" i="18"/>
  <c r="CU53" i="18"/>
  <c r="CU31" i="18"/>
  <c r="CU71" i="18"/>
  <c r="CU15" i="18"/>
  <c r="CU43" i="18"/>
  <c r="CU50" i="18"/>
  <c r="CU20" i="18"/>
  <c r="CU33" i="18"/>
  <c r="CU16" i="18"/>
  <c r="CU65" i="18"/>
  <c r="CU47" i="18"/>
  <c r="CU29" i="18"/>
  <c r="CU12" i="18"/>
  <c r="CU74" i="18"/>
  <c r="CU62" i="18"/>
  <c r="CU37" i="18"/>
  <c r="CU67" i="18"/>
  <c r="CU52" i="18"/>
  <c r="CU78" i="18"/>
  <c r="CV74" i="18" l="1"/>
  <c r="CV25" i="18"/>
  <c r="CV32" i="18"/>
  <c r="CV53" i="18"/>
  <c r="CV65" i="18"/>
  <c r="CV43" i="18"/>
  <c r="CV44" i="18"/>
  <c r="CV38" i="18"/>
  <c r="CV47" i="18"/>
  <c r="CV45" i="18"/>
  <c r="CV59" i="18"/>
  <c r="CV41" i="18"/>
  <c r="CV57" i="18"/>
  <c r="CV39" i="18"/>
  <c r="CV35" i="18"/>
  <c r="CV20" i="18"/>
  <c r="CV61" i="18"/>
  <c r="CV66" i="18"/>
  <c r="CV56" i="18"/>
  <c r="CV34" i="18"/>
  <c r="CV51" i="18"/>
  <c r="CV19" i="18"/>
  <c r="CV37" i="18"/>
  <c r="CV10" i="18"/>
  <c r="CV50" i="18"/>
  <c r="CV13" i="18"/>
  <c r="CV28" i="18"/>
  <c r="CV33" i="18"/>
  <c r="CV72" i="18"/>
  <c r="CV12" i="18"/>
  <c r="CV42" i="18"/>
  <c r="CV22" i="18"/>
  <c r="CV15" i="18"/>
  <c r="CV24" i="18"/>
  <c r="CV76" i="18"/>
  <c r="CV26" i="18"/>
  <c r="CV29" i="18"/>
  <c r="CV21" i="18"/>
  <c r="CV23" i="18"/>
  <c r="CV62" i="18"/>
  <c r="CV78" i="18"/>
  <c r="CV31" i="18"/>
  <c r="CV60" i="18"/>
  <c r="CV64" i="18"/>
  <c r="CV54" i="18"/>
  <c r="CV69" i="18"/>
  <c r="CV46" i="18"/>
  <c r="CV63" i="18"/>
  <c r="CV30" i="18"/>
  <c r="CV14" i="18"/>
  <c r="CV27" i="18"/>
  <c r="CV75" i="18"/>
  <c r="CV67" i="18"/>
  <c r="CW8" i="18"/>
  <c r="CW17" i="18" s="1"/>
  <c r="CV16" i="18"/>
  <c r="CV58" i="18"/>
  <c r="CV18" i="18"/>
  <c r="CV55" i="18"/>
  <c r="CV52" i="18"/>
  <c r="CV77" i="18"/>
  <c r="CV49" i="18"/>
  <c r="CV71" i="18"/>
  <c r="CV48" i="18"/>
  <c r="CW41" i="18" l="1"/>
  <c r="CW50" i="18"/>
  <c r="CW22" i="18"/>
  <c r="CW15" i="18"/>
  <c r="CW27" i="18"/>
  <c r="CW44" i="18"/>
  <c r="CW72" i="18"/>
  <c r="CW74" i="18"/>
  <c r="CW55" i="18"/>
  <c r="CW54" i="18"/>
  <c r="CW61" i="18"/>
  <c r="CW66" i="18"/>
  <c r="CW60" i="18"/>
  <c r="CW43" i="18"/>
  <c r="CW10" i="18"/>
  <c r="CW51" i="18"/>
  <c r="CW38" i="18"/>
  <c r="CW57" i="18"/>
  <c r="CW31" i="18"/>
  <c r="CW65" i="18"/>
  <c r="CW19" i="18"/>
  <c r="CW23" i="18"/>
  <c r="CW21" i="18"/>
  <c r="CW18" i="18"/>
  <c r="CW42" i="18"/>
  <c r="CW64" i="18"/>
  <c r="CW46" i="18"/>
  <c r="CW67" i="18"/>
  <c r="CW48" i="18"/>
  <c r="CW37" i="18"/>
  <c r="CW32" i="18"/>
  <c r="CW13" i="18"/>
  <c r="CW56" i="18"/>
  <c r="CW71" i="18"/>
  <c r="CW24" i="18"/>
  <c r="CW39" i="18"/>
  <c r="CW52" i="18"/>
  <c r="CW34" i="18"/>
  <c r="CW62" i="18"/>
  <c r="CW77" i="18"/>
  <c r="CW69" i="18"/>
  <c r="CW28" i="18"/>
  <c r="CW16" i="18"/>
  <c r="CW30" i="18"/>
  <c r="CW12" i="18"/>
  <c r="CW20" i="18"/>
  <c r="CW29" i="18"/>
  <c r="CW78" i="18"/>
  <c r="CW25" i="18"/>
  <c r="CW63" i="18"/>
  <c r="CW53" i="18"/>
  <c r="CW58" i="18"/>
  <c r="CW26" i="18"/>
  <c r="CX8" i="18"/>
  <c r="CX17" i="18" s="1"/>
  <c r="CW76" i="18"/>
  <c r="CW45" i="18"/>
  <c r="CW59" i="18"/>
  <c r="CW49" i="18"/>
  <c r="CW14" i="18"/>
  <c r="CW35" i="18"/>
  <c r="CW75" i="18"/>
  <c r="CW33" i="18"/>
  <c r="CW47" i="18"/>
  <c r="CX56" i="18" l="1"/>
  <c r="CX41" i="18"/>
  <c r="CX13" i="18"/>
  <c r="CX28" i="18"/>
  <c r="CX78" i="18"/>
  <c r="CX67" i="18"/>
  <c r="CX66" i="18"/>
  <c r="CX45" i="18"/>
  <c r="CX31" i="18"/>
  <c r="CX27" i="18"/>
  <c r="CX32" i="18"/>
  <c r="CX59" i="18"/>
  <c r="CX69" i="18"/>
  <c r="CX61" i="18"/>
  <c r="CX33" i="18"/>
  <c r="CX50" i="18"/>
  <c r="CX46" i="18"/>
  <c r="CX76" i="18"/>
  <c r="CX12" i="18"/>
  <c r="CX58" i="18"/>
  <c r="CX60" i="18"/>
  <c r="CX71" i="18"/>
  <c r="CX42" i="18"/>
  <c r="CX34" i="18"/>
  <c r="CX48" i="18"/>
  <c r="CX63" i="18"/>
  <c r="CY8" i="18"/>
  <c r="CY17" i="18" s="1"/>
  <c r="CX30" i="18"/>
  <c r="CX25" i="18"/>
  <c r="CX65" i="18"/>
  <c r="CX35" i="18"/>
  <c r="CX62" i="18"/>
  <c r="CX39" i="18"/>
  <c r="CX43" i="18"/>
  <c r="CX15" i="18"/>
  <c r="CX47" i="18"/>
  <c r="CX20" i="18"/>
  <c r="CX44" i="18"/>
  <c r="CX51" i="18"/>
  <c r="CX57" i="18"/>
  <c r="CX75" i="18"/>
  <c r="CX72" i="18"/>
  <c r="CX29" i="18"/>
  <c r="CX26" i="18"/>
  <c r="CX18" i="18"/>
  <c r="CX53" i="18"/>
  <c r="CX74" i="18"/>
  <c r="CX23" i="18"/>
  <c r="CX77" i="18"/>
  <c r="CX55" i="18"/>
  <c r="CX37" i="18"/>
  <c r="CX22" i="18"/>
  <c r="CX14" i="18"/>
  <c r="CX38" i="18"/>
  <c r="CX24" i="18"/>
  <c r="CX49" i="18"/>
  <c r="CX64" i="18"/>
  <c r="CX54" i="18"/>
  <c r="CX21" i="18"/>
  <c r="CX10" i="18"/>
  <c r="CX52" i="18"/>
  <c r="CX19" i="18"/>
  <c r="CX16" i="18"/>
  <c r="CY22" i="18" l="1"/>
  <c r="CY12" i="18"/>
  <c r="CY31" i="18"/>
  <c r="CY69" i="18"/>
  <c r="CY34" i="18"/>
  <c r="CY72" i="18"/>
  <c r="CY25" i="18"/>
  <c r="CY77" i="18"/>
  <c r="CY65" i="18"/>
  <c r="CY41" i="18"/>
  <c r="CY21" i="18"/>
  <c r="CY63" i="18"/>
  <c r="CY10" i="18"/>
  <c r="CY42" i="18"/>
  <c r="CY60" i="18"/>
  <c r="CY54" i="18"/>
  <c r="CY62" i="18"/>
  <c r="CY32" i="18"/>
  <c r="CY66" i="18"/>
  <c r="CY29" i="18"/>
  <c r="CY20" i="18"/>
  <c r="CY16" i="18"/>
  <c r="CY58" i="18"/>
  <c r="CY50" i="18"/>
  <c r="CY78" i="18"/>
  <c r="CY64" i="18"/>
  <c r="CY67" i="18"/>
  <c r="CY61" i="18"/>
  <c r="CY45" i="18"/>
  <c r="CY19" i="18"/>
  <c r="CY35" i="18"/>
  <c r="CY48" i="18"/>
  <c r="CZ8" i="18"/>
  <c r="CZ17" i="18" s="1"/>
  <c r="CY57" i="18"/>
  <c r="CY23" i="18"/>
  <c r="CY24" i="18"/>
  <c r="CY26" i="18"/>
  <c r="CY51" i="18"/>
  <c r="CY53" i="18"/>
  <c r="CY47" i="18"/>
  <c r="CY14" i="18"/>
  <c r="CY74" i="18"/>
  <c r="CY46" i="18"/>
  <c r="CY37" i="18"/>
  <c r="CY43" i="18"/>
  <c r="CY59" i="18"/>
  <c r="CY52" i="18"/>
  <c r="CY49" i="18"/>
  <c r="CY38" i="18"/>
  <c r="CY30" i="18"/>
  <c r="CY56" i="18"/>
  <c r="CY13" i="18"/>
  <c r="CY75" i="18"/>
  <c r="CY76" i="18"/>
  <c r="CY55" i="18"/>
  <c r="CY28" i="18"/>
  <c r="CY33" i="18"/>
  <c r="CY27" i="18"/>
  <c r="CY44" i="18"/>
  <c r="CY39" i="18"/>
  <c r="CY71" i="18"/>
  <c r="CY15" i="18"/>
  <c r="CY18" i="18"/>
  <c r="CZ47" i="18" l="1"/>
  <c r="CZ37" i="18"/>
  <c r="CZ25" i="18"/>
  <c r="CZ48" i="18"/>
  <c r="CZ35" i="18"/>
  <c r="CZ32" i="18"/>
  <c r="CZ74" i="18"/>
  <c r="CZ28" i="18"/>
  <c r="CZ46" i="18"/>
  <c r="CZ27" i="18"/>
  <c r="CZ58" i="18"/>
  <c r="CZ22" i="18"/>
  <c r="CZ77" i="18"/>
  <c r="CZ50" i="18"/>
  <c r="CZ31" i="18"/>
  <c r="CZ41" i="18"/>
  <c r="CZ42" i="18"/>
  <c r="CZ24" i="18"/>
  <c r="CZ44" i="18"/>
  <c r="CZ23" i="18"/>
  <c r="CZ13" i="18"/>
  <c r="CZ34" i="18"/>
  <c r="CZ39" i="18"/>
  <c r="CZ45" i="18"/>
  <c r="CZ26" i="18"/>
  <c r="CZ30" i="18"/>
  <c r="CZ15" i="18"/>
  <c r="CZ19" i="18"/>
  <c r="CZ10" i="18"/>
  <c r="CZ12" i="18"/>
  <c r="DA8" i="18"/>
  <c r="DA17" i="18" s="1"/>
  <c r="CZ78" i="18"/>
  <c r="CZ76" i="18"/>
  <c r="CZ75" i="18"/>
  <c r="CZ63" i="18"/>
  <c r="CZ20" i="18"/>
  <c r="CZ16" i="18"/>
  <c r="CZ72" i="18"/>
  <c r="CZ59" i="18"/>
  <c r="CZ71" i="18"/>
  <c r="CZ18" i="18"/>
  <c r="CZ69" i="18"/>
  <c r="CZ43" i="18"/>
  <c r="CZ65" i="18"/>
  <c r="CZ64" i="18"/>
  <c r="CZ14" i="18"/>
  <c r="CZ21" i="18"/>
  <c r="CZ62" i="18"/>
  <c r="CZ56" i="18"/>
  <c r="CZ33" i="18"/>
  <c r="CZ61" i="18"/>
  <c r="CZ67" i="18"/>
  <c r="CZ60" i="18"/>
  <c r="CZ57" i="18"/>
  <c r="CZ55" i="18"/>
  <c r="CZ54" i="18"/>
  <c r="CZ53" i="18"/>
  <c r="CZ51" i="18"/>
  <c r="CZ52" i="18"/>
  <c r="CZ66" i="18"/>
  <c r="CZ49" i="18"/>
  <c r="CZ29" i="18"/>
  <c r="CZ38" i="18"/>
  <c r="DA12" i="18" l="1"/>
  <c r="DA71" i="18"/>
  <c r="DA63" i="18"/>
  <c r="DA18" i="18"/>
  <c r="DA33" i="18"/>
  <c r="DA76" i="18"/>
  <c r="DA22" i="18"/>
  <c r="DA13" i="18"/>
  <c r="DA37" i="18"/>
  <c r="DA27" i="18"/>
  <c r="DA42" i="18"/>
  <c r="DA31" i="18"/>
  <c r="DA28" i="18"/>
  <c r="DA10" i="18"/>
  <c r="DA19" i="18"/>
  <c r="DA51" i="18"/>
  <c r="DA24" i="18"/>
  <c r="DA56" i="18"/>
  <c r="DA64" i="18"/>
  <c r="DA26" i="18"/>
  <c r="DA59" i="18"/>
  <c r="DA14" i="18"/>
  <c r="DA50" i="18"/>
  <c r="DA20" i="18"/>
  <c r="DB8" i="18"/>
  <c r="DB17" i="18" s="1"/>
  <c r="DA43" i="18"/>
  <c r="DA38" i="18"/>
  <c r="DA39" i="18"/>
  <c r="DA47" i="18"/>
  <c r="DA30" i="18"/>
  <c r="DA61" i="18"/>
  <c r="DA72" i="18"/>
  <c r="DA25" i="18"/>
  <c r="DA55" i="18"/>
  <c r="DA49" i="18"/>
  <c r="DA62" i="18"/>
  <c r="DA60" i="18"/>
  <c r="DA53" i="18"/>
  <c r="DA34" i="18"/>
  <c r="DA41" i="18"/>
  <c r="DA74" i="18"/>
  <c r="DA29" i="18"/>
  <c r="DA16" i="18"/>
  <c r="DA57" i="18"/>
  <c r="DA65" i="18"/>
  <c r="DA54" i="18"/>
  <c r="DA52" i="18"/>
  <c r="DA45" i="18"/>
  <c r="DA78" i="18"/>
  <c r="DA77" i="18"/>
  <c r="DA23" i="18"/>
  <c r="DA66" i="18"/>
  <c r="DA15" i="18"/>
  <c r="DA69" i="18"/>
  <c r="DA46" i="18"/>
  <c r="DA44" i="18"/>
  <c r="DA35" i="18"/>
  <c r="DA67" i="18"/>
  <c r="DA58" i="18"/>
  <c r="DA21" i="18"/>
  <c r="DA48" i="18"/>
  <c r="DA32" i="18"/>
  <c r="DA75" i="18"/>
  <c r="DB14" i="18" l="1"/>
  <c r="DB43" i="18"/>
  <c r="DB37" i="18"/>
  <c r="DB26" i="18"/>
  <c r="DB24" i="18"/>
  <c r="DB21" i="18"/>
  <c r="DB20" i="18"/>
  <c r="DB31" i="18"/>
  <c r="DB67" i="18"/>
  <c r="DB54" i="18"/>
  <c r="DB69" i="18"/>
  <c r="DB44" i="18"/>
  <c r="DB59" i="18"/>
  <c r="DB56" i="18"/>
  <c r="DB46" i="18"/>
  <c r="DB45" i="18"/>
  <c r="DB41" i="18"/>
  <c r="DB58" i="18"/>
  <c r="DB66" i="18"/>
  <c r="DB16" i="18"/>
  <c r="DB64" i="18"/>
  <c r="DB60" i="18"/>
  <c r="DB72" i="18"/>
  <c r="DB10" i="18"/>
  <c r="DB65" i="18"/>
  <c r="DB50" i="18"/>
  <c r="DB51" i="18"/>
  <c r="DB47" i="18"/>
  <c r="DB35" i="18"/>
  <c r="DB34" i="18"/>
  <c r="DB30" i="18"/>
  <c r="DB39" i="18"/>
  <c r="DB57" i="18"/>
  <c r="DB42" i="18"/>
  <c r="DB53" i="18"/>
  <c r="DB12" i="18"/>
  <c r="DB15" i="18"/>
  <c r="DB38" i="18"/>
  <c r="DB25" i="18"/>
  <c r="DB49" i="18"/>
  <c r="DB28" i="18"/>
  <c r="DB27" i="18"/>
  <c r="DB19" i="18"/>
  <c r="DB74" i="18"/>
  <c r="DB18" i="18"/>
  <c r="DB62" i="18"/>
  <c r="DB48" i="18"/>
  <c r="DB76" i="18"/>
  <c r="DB75" i="18"/>
  <c r="DB71" i="18"/>
  <c r="DB29" i="18"/>
  <c r="DB13" i="18"/>
  <c r="DB22" i="18"/>
  <c r="DB23" i="18"/>
  <c r="DB77" i="18"/>
  <c r="DB33" i="18"/>
  <c r="DB78" i="18"/>
  <c r="DB63" i="18"/>
  <c r="DB61" i="18"/>
  <c r="DB55" i="18"/>
  <c r="DB32" i="18"/>
  <c r="DB52" i="18"/>
</calcChain>
</file>

<file path=xl/sharedStrings.xml><?xml version="1.0" encoding="utf-8"?>
<sst xmlns="http://schemas.openxmlformats.org/spreadsheetml/2006/main" count="164" uniqueCount="116">
  <si>
    <t>Fecha de inicio del proyecto:</t>
  </si>
  <si>
    <t>Incremento de desplazamiento:</t>
  </si>
  <si>
    <t>Descripción del hito</t>
  </si>
  <si>
    <t>Riesgo bajo</t>
  </si>
  <si>
    <t>Riesgo medio</t>
  </si>
  <si>
    <t>Riesgo alto</t>
  </si>
  <si>
    <t>Según lo previsto</t>
  </si>
  <si>
    <t>Asignado a</t>
  </si>
  <si>
    <t>Progreso</t>
  </si>
  <si>
    <t>Inicio</t>
  </si>
  <si>
    <t>Leyenda:</t>
  </si>
  <si>
    <t>Días</t>
  </si>
  <si>
    <t>Sin asignar</t>
  </si>
  <si>
    <t>Riesgo</t>
  </si>
  <si>
    <t>Entregable</t>
  </si>
  <si>
    <t>TODOS</t>
  </si>
  <si>
    <t>Mitigación</t>
  </si>
  <si>
    <t>% Avance Global</t>
  </si>
  <si>
    <t>Nombre del Proyecto</t>
  </si>
  <si>
    <t>Nombre de la Materia</t>
  </si>
  <si>
    <t xml:space="preserve">Sprint 1                     </t>
  </si>
  <si>
    <t xml:space="preserve">Sprint 2              </t>
  </si>
  <si>
    <t xml:space="preserve">Sprint 3    </t>
  </si>
  <si>
    <t xml:space="preserve">Sprint 4             </t>
  </si>
  <si>
    <t>Sprint 0    Planeación y Configuración</t>
  </si>
  <si>
    <t>Scrum Master:</t>
  </si>
  <si>
    <t>Product Owner:</t>
  </si>
  <si>
    <t>Programación Orientada Objetos</t>
  </si>
  <si>
    <t>Adriel Gonzalez Carmona</t>
  </si>
  <si>
    <t>César Antonio Ríos Olivares</t>
  </si>
  <si>
    <t>Definición del propósito y objetivos del proyecto</t>
  </si>
  <si>
    <t>Elaboración del Product Vision</t>
  </si>
  <si>
    <t>Creación del Product Backlog y priorización</t>
  </si>
  <si>
    <t>Asignación de roles Scrum</t>
  </si>
  <si>
    <t>Configuración del reporsitoio GitHub</t>
  </si>
  <si>
    <t>SCRUM MASTER</t>
  </si>
  <si>
    <t>Configuración del entorno (Python + PyGame)</t>
  </si>
  <si>
    <t>DEVELOPER</t>
  </si>
  <si>
    <t>Implementación de la cuadrícula central del juego</t>
  </si>
  <si>
    <t>Programación del movimiento y rotación de piezas</t>
  </si>
  <si>
    <t>Lógica para eliminar líneas completas</t>
  </si>
  <si>
    <t>Detección de Game Over al llenar una columna vertical.</t>
  </si>
  <si>
    <t>Pruebas de funcionamiento del juego base</t>
  </si>
  <si>
    <t>Documento de objetivos</t>
  </si>
  <si>
    <t>Product Vision aprobado</t>
  </si>
  <si>
    <t>Backlog inicial</t>
  </si>
  <si>
    <t>Lista de roles Scrum</t>
  </si>
  <si>
    <t>Repositorio activo</t>
  </si>
  <si>
    <t>Entorno funcional</t>
  </si>
  <si>
    <t>Revisión con el profesor</t>
  </si>
  <si>
    <t>Validar con el equipo</t>
  </si>
  <si>
    <t>Revisar prioridades</t>
  </si>
  <si>
    <t>Definir tareas claras</t>
  </si>
  <si>
    <t>Probar accesos</t>
  </si>
  <si>
    <t>Hacer pruebas de ejecución</t>
  </si>
  <si>
    <t>Diseño de interfaces (prueba)</t>
  </si>
  <si>
    <t>DESIGNER</t>
  </si>
  <si>
    <t>Documento del diseño</t>
  </si>
  <si>
    <t>Pantalla inicio funcional</t>
  </si>
  <si>
    <t>Tablero interactivo</t>
  </si>
  <si>
    <t>Movimiento y rotación correctos</t>
  </si>
  <si>
    <t>Eliminación y scoring</t>
  </si>
  <si>
    <t>Detección y pantalla Game Over</t>
  </si>
  <si>
    <t>Informe de pruebas y correcciones</t>
  </si>
  <si>
    <t>Tests de colisión básicos</t>
  </si>
  <si>
    <t>Revisiones de código y tests unitarios</t>
  </si>
  <si>
    <t>Casos de prueba para varios escenarios</t>
  </si>
  <si>
    <t>Pruebas en límites (columna llena)</t>
  </si>
  <si>
    <t>Plan de corrección rápida</t>
  </si>
  <si>
    <t>Comprobar que los botones y textos funcionen correctamente</t>
  </si>
  <si>
    <t>TESTER</t>
  </si>
  <si>
    <t>Diseño de la interfaz de inicio en Python</t>
  </si>
  <si>
    <t>Implementación del sistema de niveles (3 niveles)</t>
  </si>
  <si>
    <t>Mostrar nivel actual y puntaje en pantalla</t>
  </si>
  <si>
    <t>Pruebas de estabilidad y jugabilidad</t>
  </si>
  <si>
    <t>Configuración de la dificultad progresiva (aumento de velocidad y operaciones distintas por nivel)</t>
  </si>
  <si>
    <t>DESEGNER</t>
  </si>
  <si>
    <t>Integrar operaciones matemáticas al final de cada nivel</t>
  </si>
  <si>
    <t>Validación de respuestas correctas e incorrectas</t>
  </si>
  <si>
    <t>Reinicio del puntaje y nivel al fallar</t>
  </si>
  <si>
    <t>Mejoras visuales (colores, fuentes, diseño infantil)</t>
  </si>
  <si>
    <t>Prueba de funcionamiento correcto</t>
  </si>
  <si>
    <t>Pruebas integrales y corrección de errores</t>
  </si>
  <si>
    <t xml:space="preserve"> Documentación final del proyecto</t>
  </si>
  <si>
    <t>Presentación del producto terminado y retrospectiva Scrum</t>
  </si>
  <si>
    <t>TESTER Y DEVELOPER</t>
  </si>
  <si>
    <t>Niveles configurados correctamente</t>
  </si>
  <si>
    <t>Velocidad y operaciones ajustadas</t>
  </si>
  <si>
    <t>Interfaz con marcador visible</t>
  </si>
  <si>
    <t>Indicador de próxima pieza</t>
  </si>
  <si>
    <t>Reporte de estabilidad del sistema</t>
  </si>
  <si>
    <t>Cada nivel aumenta dificultad progresiva</t>
  </si>
  <si>
    <t>Pruebas de transición entre niveles</t>
  </si>
  <si>
    <t>Validar actualización de puntaje en tiempo real</t>
  </si>
  <si>
    <t>Visualización correcta sin errores</t>
  </si>
  <si>
    <t>Sin errores de rendimiento en sesiones largas</t>
  </si>
  <si>
    <t>Módulo educativo funcional</t>
  </si>
  <si>
    <t>Sistema de validación de respuestas</t>
  </si>
  <si>
    <t>Reinicio automático al fallar</t>
  </si>
  <si>
    <t>Interfaz visual final</t>
  </si>
  <si>
    <t>Reporte de pruebas funcionales</t>
  </si>
  <si>
    <t>Diferencia entre aciertos y errores</t>
  </si>
  <si>
    <t>Pruebas de reinicio exitosas</t>
  </si>
  <si>
    <t>Revisión estética por Product Owner</t>
  </si>
  <si>
    <t>Validación general del sistema educativo</t>
  </si>
  <si>
    <t>Cada nivel presenta una operación correcta</t>
  </si>
  <si>
    <t>Juego sin errores críticos</t>
  </si>
  <si>
    <t>Documentación técnica</t>
  </si>
  <si>
    <t>App funcional y reporte final</t>
  </si>
  <si>
    <t>Validación completa de funcionalidad</t>
  </si>
  <si>
    <t>Revisión por Product Owner</t>
  </si>
  <si>
    <t>Evaluación del equipo y cierre de proyecto</t>
  </si>
  <si>
    <t>Mostrar siguiente pieza en la parte sobrante de la cuadricula</t>
  </si>
  <si>
    <t>Mostrar puntaje obtenido</t>
  </si>
  <si>
    <t>Sistema de puntuación funcional</t>
  </si>
  <si>
    <t>El jugador puede visualizar su puntaje actualizado en tiempo real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</si>
</sst>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00_);_(* \(#,##0.00\);_(* &quot;-&quot;??_);_(@_)"/>
    <numFmt numFmtId="165" formatCode="_-* #,##0.00\ &quot;€&quot;_-;\-* #,##0.00\ &quot;€&quot;_-;_-* &quot;-&quot;??\ &quot;€&quot;_-;_-@_-"/>
    <numFmt numFmtId="166" formatCode="_-* #,##0\ &quot;€&quot;_-;\-* #,##0\ &quot;€&quot;_-;_-* &quot;-&quot;\ &quot;€&quot;_-;_-@_-"/>
    <numFmt numFmtId="167" formatCode="d"/>
    <numFmt numFmtId="168" formatCode="#,##0_ ;\-#,##0\ "/>
  </numFmts>
  <fonts count="37"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sz val="11"/>
      <color theme="0"/>
      <name val="Calibri"/>
      <family val="2"/>
      <scheme val="minor"/>
    </font>
    <font>
      <b/>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name val="Calibri"/>
      <family val="2"/>
      <scheme val="minor"/>
    </font>
    <font>
      <b/>
      <sz val="16"/>
      <color rgb="FF000000"/>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b/>
      <sz val="18"/>
      <name val="Calibri"/>
      <family val="2"/>
      <scheme val="minor"/>
    </font>
    <font>
      <b/>
      <sz val="12"/>
      <color theme="0"/>
      <name val="Calibri"/>
      <family val="2"/>
      <scheme val="minor"/>
    </font>
    <font>
      <b/>
      <sz val="11"/>
      <color rgb="FF00B050"/>
      <name val="Calibri"/>
      <family val="2"/>
      <scheme val="minor"/>
    </font>
    <font>
      <b/>
      <u/>
      <sz val="11"/>
      <color theme="9" tint="-0.249977111117893"/>
      <name val="Calibri"/>
      <family val="2"/>
      <scheme val="minor"/>
    </font>
  </fonts>
  <fills count="42">
    <fill>
      <patternFill patternType="none"/>
    </fill>
    <fill>
      <patternFill patternType="gray125"/>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9" tint="-0.499984740745262"/>
        <bgColor indexed="64"/>
      </patternFill>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000"/>
        <bgColor indexed="64"/>
      </patternFill>
    </fill>
    <fill>
      <patternFill patternType="solid">
        <fgColor theme="0"/>
        <bgColor indexed="64"/>
      </patternFill>
    </fill>
  </fills>
  <borders count="18">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0">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7"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8" fontId="4" fillId="0" borderId="0" applyFont="0" applyFill="0" applyBorder="0" applyProtection="0">
      <alignment horizontal="center" vertical="center"/>
    </xf>
    <xf numFmtId="0" fontId="7" fillId="2" borderId="0" applyNumberFormat="0" applyBorder="0" applyAlignment="0" applyProtection="0"/>
    <xf numFmtId="165" fontId="4" fillId="0" borderId="0" applyFont="0" applyFill="0" applyBorder="0" applyAlignment="0" applyProtection="0"/>
    <xf numFmtId="166" fontId="4" fillId="0" borderId="0" applyFont="0" applyFill="0" applyBorder="0" applyAlignment="0" applyProtection="0"/>
    <xf numFmtId="0" fontId="22" fillId="0" borderId="0" applyNumberFormat="0" applyFill="0" applyBorder="0" applyAlignment="0" applyProtection="0"/>
    <xf numFmtId="0" fontId="23" fillId="10" borderId="0" applyNumberFormat="0" applyBorder="0" applyAlignment="0" applyProtection="0"/>
    <xf numFmtId="0" fontId="24" fillId="11" borderId="0" applyNumberFormat="0" applyBorder="0" applyAlignment="0" applyProtection="0"/>
    <xf numFmtId="0" fontId="25" fillId="12" borderId="0" applyNumberFormat="0" applyBorder="0" applyAlignment="0" applyProtection="0"/>
    <xf numFmtId="0" fontId="26" fillId="13" borderId="12" applyNumberFormat="0" applyAlignment="0" applyProtection="0"/>
    <xf numFmtId="0" fontId="27" fillId="14" borderId="13" applyNumberFormat="0" applyAlignment="0" applyProtection="0"/>
    <xf numFmtId="0" fontId="28" fillId="14" borderId="12" applyNumberFormat="0" applyAlignment="0" applyProtection="0"/>
    <xf numFmtId="0" fontId="29" fillId="0" borderId="14" applyNumberFormat="0" applyFill="0" applyAlignment="0" applyProtection="0"/>
    <xf numFmtId="0" fontId="15" fillId="15" borderId="15" applyNumberFormat="0" applyAlignment="0" applyProtection="0"/>
    <xf numFmtId="0" fontId="30" fillId="0" borderId="0" applyNumberFormat="0" applyFill="0" applyBorder="0" applyAlignment="0" applyProtection="0"/>
    <xf numFmtId="0" fontId="4" fillId="16" borderId="16" applyNumberFormat="0" applyFont="0" applyAlignment="0" applyProtection="0"/>
    <xf numFmtId="0" fontId="31" fillId="0" borderId="0" applyNumberFormat="0" applyFill="0" applyBorder="0" applyAlignment="0" applyProtection="0"/>
    <xf numFmtId="0" fontId="32" fillId="0" borderId="17" applyNumberFormat="0" applyFill="0" applyAlignment="0" applyProtection="0"/>
    <xf numFmtId="0" fontId="7" fillId="17"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7"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7" fillId="28" borderId="0" applyNumberFormat="0" applyBorder="0" applyAlignment="0" applyProtection="0"/>
    <xf numFmtId="0" fontId="4" fillId="29"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7" fillId="32"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5" borderId="0" applyNumberFormat="0" applyBorder="0" applyAlignment="0" applyProtection="0"/>
    <xf numFmtId="0" fontId="7" fillId="36" borderId="0" applyNumberFormat="0" applyBorder="0" applyAlignment="0" applyProtection="0"/>
    <xf numFmtId="0" fontId="4" fillId="37" borderId="0" applyNumberFormat="0" applyBorder="0" applyAlignment="0" applyProtection="0"/>
    <xf numFmtId="0" fontId="4" fillId="38" borderId="0" applyNumberFormat="0" applyBorder="0" applyAlignment="0" applyProtection="0"/>
    <xf numFmtId="0" fontId="4" fillId="39" borderId="0" applyNumberFormat="0" applyBorder="0" applyAlignment="0" applyProtection="0"/>
  </cellStyleXfs>
  <cellXfs count="68">
    <xf numFmtId="0" fontId="0" fillId="0" borderId="0" xfId="0"/>
    <xf numFmtId="0" fontId="0" fillId="0" borderId="0" xfId="0" applyAlignment="1">
      <alignment vertical="center"/>
    </xf>
    <xf numFmtId="0" fontId="0" fillId="0" borderId="0" xfId="0" applyAlignment="1">
      <alignment horizontal="right" vertical="center"/>
    </xf>
    <xf numFmtId="0" fontId="7" fillId="0" borderId="0" xfId="3"/>
    <xf numFmtId="0" fontId="7" fillId="0" borderId="0" xfId="3" applyAlignment="1">
      <alignment wrapText="1"/>
    </xf>
    <xf numFmtId="0" fontId="0" fillId="0" borderId="4" xfId="0" applyBorder="1" applyAlignment="1">
      <alignment horizontal="center" vertical="center"/>
    </xf>
    <xf numFmtId="0" fontId="0" fillId="0" borderId="6" xfId="0" applyBorder="1" applyAlignment="1">
      <alignment vertical="center"/>
    </xf>
    <xf numFmtId="0" fontId="3" fillId="0" borderId="0" xfId="0" applyFont="1" applyAlignment="1">
      <alignment horizontal="center" vertical="center"/>
    </xf>
    <xf numFmtId="0" fontId="3" fillId="0" borderId="0" xfId="0" applyFont="1" applyAlignment="1">
      <alignment vertical="center"/>
    </xf>
    <xf numFmtId="0" fontId="3" fillId="0" borderId="0" xfId="0" applyFont="1"/>
    <xf numFmtId="0" fontId="3" fillId="0" borderId="3" xfId="0" applyFont="1" applyBorder="1"/>
    <xf numFmtId="0" fontId="13" fillId="0" borderId="0" xfId="0" applyFont="1" applyAlignment="1">
      <alignment vertical="center"/>
    </xf>
    <xf numFmtId="0" fontId="8" fillId="0" borderId="3" xfId="0" applyFont="1" applyBorder="1" applyAlignment="1">
      <alignment horizontal="center" vertical="center" wrapText="1"/>
    </xf>
    <xf numFmtId="0" fontId="11" fillId="0" borderId="9" xfId="0" applyFont="1" applyBorder="1"/>
    <xf numFmtId="0" fontId="20" fillId="0" borderId="9" xfId="0" applyFont="1" applyBorder="1" applyAlignment="1">
      <alignment vertical="center"/>
    </xf>
    <xf numFmtId="0" fontId="21" fillId="0" borderId="9" xfId="0" applyFont="1" applyBorder="1" applyAlignment="1">
      <alignment vertical="center"/>
    </xf>
    <xf numFmtId="0" fontId="14" fillId="0" borderId="9" xfId="0" applyFont="1" applyBorder="1" applyAlignment="1">
      <alignment vertical="center"/>
    </xf>
    <xf numFmtId="0" fontId="7" fillId="8" borderId="0" xfId="0" applyFont="1" applyFill="1"/>
    <xf numFmtId="0" fontId="1" fillId="9" borderId="1" xfId="0" applyFont="1" applyFill="1" applyBorder="1" applyAlignment="1">
      <alignment horizontal="center" vertical="center" shrinkToFit="1"/>
    </xf>
    <xf numFmtId="0" fontId="15" fillId="8" borderId="0" xfId="0" applyFont="1" applyFill="1" applyAlignment="1">
      <alignment horizontal="center" vertical="center" wrapText="1"/>
    </xf>
    <xf numFmtId="167" fontId="1" fillId="9" borderId="7" xfId="0" applyNumberFormat="1" applyFont="1" applyFill="1" applyBorder="1" applyAlignment="1">
      <alignment horizontal="center" vertical="center"/>
    </xf>
    <xf numFmtId="167" fontId="1" fillId="9" borderId="5" xfId="0" applyNumberFormat="1" applyFont="1" applyFill="1" applyBorder="1" applyAlignment="1">
      <alignment horizontal="center" vertical="center"/>
    </xf>
    <xf numFmtId="167" fontId="1" fillId="9" borderId="8" xfId="0" applyNumberFormat="1" applyFont="1" applyFill="1" applyBorder="1" applyAlignment="1">
      <alignment horizontal="center" vertical="center"/>
    </xf>
    <xf numFmtId="167" fontId="1" fillId="9" borderId="2" xfId="0" applyNumberFormat="1" applyFont="1" applyFill="1" applyBorder="1" applyAlignment="1">
      <alignment horizontal="center" vertical="center"/>
    </xf>
    <xf numFmtId="167" fontId="1" fillId="9" borderId="0" xfId="0" applyNumberFormat="1" applyFont="1" applyFill="1" applyAlignment="1">
      <alignment horizontal="center" vertical="center"/>
    </xf>
    <xf numFmtId="167" fontId="1" fillId="9" borderId="10" xfId="0" applyNumberFormat="1" applyFont="1" applyFill="1" applyBorder="1" applyAlignment="1">
      <alignment horizontal="center" vertical="center"/>
    </xf>
    <xf numFmtId="167" fontId="1" fillId="9" borderId="11" xfId="0" applyNumberFormat="1" applyFont="1" applyFill="1" applyBorder="1" applyAlignment="1">
      <alignment horizontal="center" vertical="center"/>
    </xf>
    <xf numFmtId="167" fontId="1" fillId="9" borderId="3" xfId="0" applyNumberFormat="1" applyFont="1" applyFill="1" applyBorder="1" applyAlignment="1">
      <alignment horizontal="center" vertical="center"/>
    </xf>
    <xf numFmtId="0" fontId="34" fillId="8" borderId="0" xfId="0" applyFont="1" applyFill="1" applyAlignment="1">
      <alignment horizontal="center" vertical="center" wrapText="1"/>
    </xf>
    <xf numFmtId="168" fontId="3" fillId="0" borderId="0" xfId="10" applyFont="1" applyFill="1" applyBorder="1" applyAlignment="1">
      <alignment horizontal="left" vertical="center" wrapText="1"/>
    </xf>
    <xf numFmtId="168" fontId="3" fillId="0" borderId="0" xfId="10" quotePrefix="1" applyFont="1" applyFill="1" applyBorder="1" applyAlignment="1">
      <alignment horizontal="left" vertical="center" wrapText="1"/>
    </xf>
    <xf numFmtId="0" fontId="12" fillId="0" borderId="0" xfId="0" applyFont="1" applyAlignment="1">
      <alignment horizontal="center" vertical="center" wrapText="1"/>
    </xf>
    <xf numFmtId="0" fontId="0" fillId="0" borderId="0" xfId="0" applyAlignment="1">
      <alignment horizontal="left" vertical="center" wrapText="1"/>
    </xf>
    <xf numFmtId="0" fontId="13" fillId="0" borderId="0" xfId="0" applyFont="1" applyAlignment="1">
      <alignment horizontal="left" vertical="center" wrapText="1"/>
    </xf>
    <xf numFmtId="0" fontId="3" fillId="0" borderId="0" xfId="0" applyFont="1" applyAlignment="1">
      <alignment horizontal="left" vertical="center" wrapText="1"/>
    </xf>
    <xf numFmtId="0" fontId="12" fillId="0" borderId="0" xfId="0" applyFont="1" applyAlignment="1">
      <alignment horizontal="left" vertical="center" wrapText="1"/>
    </xf>
    <xf numFmtId="9" fontId="36" fillId="0" borderId="0" xfId="0" applyNumberFormat="1" applyFont="1" applyAlignment="1">
      <alignment horizontal="left" vertical="center" wrapText="1"/>
    </xf>
    <xf numFmtId="14" fontId="0" fillId="0" borderId="0" xfId="9" applyFont="1" applyFill="1" applyBorder="1" applyAlignment="1">
      <alignment horizontal="left" vertical="center" wrapText="1"/>
    </xf>
    <xf numFmtId="168" fontId="0" fillId="0" borderId="0" xfId="10" applyFont="1" applyFill="1" applyBorder="1" applyAlignment="1">
      <alignment horizontal="left" vertical="center" wrapText="1"/>
    </xf>
    <xf numFmtId="0" fontId="33" fillId="0" borderId="0" xfId="0" quotePrefix="1" applyFont="1" applyAlignment="1">
      <alignment horizontal="left" vertical="center" wrapText="1"/>
    </xf>
    <xf numFmtId="14" fontId="3" fillId="0" borderId="0" xfId="9" applyFont="1" applyFill="1" applyBorder="1" applyAlignment="1">
      <alignment horizontal="left" vertical="center" wrapText="1"/>
    </xf>
    <xf numFmtId="0" fontId="3" fillId="0" borderId="0" xfId="0" quotePrefix="1" applyFont="1" applyAlignment="1">
      <alignment horizontal="left" vertical="center" wrapText="1"/>
    </xf>
    <xf numFmtId="0" fontId="17" fillId="0" borderId="0" xfId="5" applyFont="1" applyFill="1" applyBorder="1" applyAlignment="1">
      <alignment horizontal="left" vertical="center" wrapText="1"/>
    </xf>
    <xf numFmtId="0" fontId="16" fillId="0" borderId="0" xfId="0" applyFont="1" applyAlignment="1">
      <alignment horizontal="left" vertical="center" wrapText="1"/>
    </xf>
    <xf numFmtId="0" fontId="20" fillId="0" borderId="0" xfId="6" applyFont="1" applyFill="1" applyAlignment="1">
      <alignment horizontal="left" vertical="center" wrapText="1"/>
    </xf>
    <xf numFmtId="0" fontId="13" fillId="0" borderId="0" xfId="6" applyFont="1" applyFill="1" applyAlignment="1">
      <alignment horizontal="left" vertical="center" wrapText="1"/>
    </xf>
    <xf numFmtId="0" fontId="20" fillId="0" borderId="0" xfId="0" applyFont="1" applyAlignment="1">
      <alignment horizontal="left" vertical="center" wrapText="1"/>
    </xf>
    <xf numFmtId="0" fontId="3" fillId="0" borderId="0" xfId="8" applyFont="1" applyFill="1" applyAlignment="1">
      <alignment horizontal="left" vertical="center" wrapText="1"/>
    </xf>
    <xf numFmtId="9" fontId="0" fillId="0" borderId="0" xfId="2" applyFont="1" applyFill="1" applyBorder="1" applyAlignment="1">
      <alignment horizontal="left" vertical="center" wrapText="1"/>
    </xf>
    <xf numFmtId="9" fontId="35" fillId="40" borderId="0" xfId="2" applyFont="1" applyFill="1" applyBorder="1" applyAlignment="1">
      <alignment horizontal="center" vertical="center" wrapText="1"/>
    </xf>
    <xf numFmtId="9" fontId="12" fillId="0" borderId="0" xfId="2" applyFont="1" applyFill="1" applyBorder="1" applyAlignment="1">
      <alignment horizontal="center" vertical="center" wrapText="1"/>
    </xf>
    <xf numFmtId="0" fontId="32" fillId="0" borderId="0" xfId="0" applyFont="1" applyAlignment="1">
      <alignment horizontal="center" vertical="center" wrapText="1"/>
    </xf>
    <xf numFmtId="9" fontId="32" fillId="0" borderId="0" xfId="2" applyFont="1" applyFill="1" applyBorder="1" applyAlignment="1">
      <alignment horizontal="center" vertical="center" wrapText="1"/>
    </xf>
    <xf numFmtId="9" fontId="12" fillId="0" borderId="0" xfId="2" quotePrefix="1" applyFont="1" applyAlignment="1">
      <alignment horizontal="center" vertical="center" wrapText="1"/>
    </xf>
    <xf numFmtId="0" fontId="0" fillId="0" borderId="0" xfId="0" applyAlignment="1">
      <alignment vertical="center" wrapText="1"/>
    </xf>
    <xf numFmtId="9" fontId="35" fillId="41" borderId="0" xfId="2" applyFont="1" applyFill="1" applyBorder="1" applyAlignment="1">
      <alignment horizontal="center" vertical="center" wrapText="1"/>
    </xf>
    <xf numFmtId="168" fontId="0" fillId="0" borderId="0" xfId="10" applyFont="1" applyFill="1" applyBorder="1" applyAlignment="1">
      <alignment horizontal="center" vertical="center" wrapText="1"/>
    </xf>
    <xf numFmtId="168" fontId="3" fillId="0" borderId="0" xfId="10" applyFont="1" applyFill="1" applyBorder="1" applyAlignment="1">
      <alignment horizontal="center" vertical="center" wrapText="1"/>
    </xf>
    <xf numFmtId="0" fontId="0" fillId="0" borderId="0" xfId="0" applyAlignment="1">
      <alignment wrapText="1"/>
    </xf>
    <xf numFmtId="168" fontId="3" fillId="0" borderId="0" xfId="10" applyFont="1" applyFill="1" applyAlignment="1">
      <alignment horizontal="left" vertical="center" wrapText="1"/>
    </xf>
    <xf numFmtId="0" fontId="9" fillId="3" borderId="0" xfId="0" applyFont="1" applyFill="1" applyAlignment="1">
      <alignment horizontal="center" vertical="center"/>
    </xf>
    <xf numFmtId="0" fontId="19" fillId="8" borderId="0" xfId="5" applyFont="1" applyFill="1" applyAlignment="1">
      <alignment horizontal="left" vertical="center" indent="1"/>
    </xf>
    <xf numFmtId="0" fontId="18" fillId="8" borderId="0" xfId="0" applyFont="1" applyFill="1" applyAlignment="1">
      <alignment horizontal="center" vertical="center"/>
    </xf>
    <xf numFmtId="0" fontId="7" fillId="8" borderId="0" xfId="0" applyFont="1" applyFill="1" applyAlignment="1">
      <alignment horizontal="center" vertical="center"/>
    </xf>
    <xf numFmtId="0" fontId="10" fillId="4" borderId="0" xfId="11" applyFont="1" applyFill="1" applyAlignment="1">
      <alignment horizontal="center" vertical="center"/>
    </xf>
    <xf numFmtId="0" fontId="10" fillId="6" borderId="0" xfId="0" applyFont="1" applyFill="1" applyAlignment="1">
      <alignment horizontal="center" vertical="center"/>
    </xf>
    <xf numFmtId="0" fontId="10" fillId="7" borderId="0" xfId="0" applyFont="1" applyFill="1" applyAlignment="1">
      <alignment horizontal="center" vertical="center"/>
    </xf>
    <xf numFmtId="0" fontId="10" fillId="5" borderId="0" xfId="0" applyFont="1" applyFill="1" applyAlignment="1">
      <alignment horizontal="center" vertical="center"/>
    </xf>
  </cellXfs>
  <cellStyles count="50">
    <cellStyle name="20% - Énfasis1" xfId="28" builtinId="30" customBuiltin="1"/>
    <cellStyle name="20% - Énfasis2" xfId="32" builtinId="34" customBuiltin="1"/>
    <cellStyle name="20% - Énfasis3" xfId="35" builtinId="38" customBuiltin="1"/>
    <cellStyle name="20% - Énfasis4" xfId="39" builtinId="42" customBuiltin="1"/>
    <cellStyle name="20% - Énfasis5" xfId="43" builtinId="46" customBuiltin="1"/>
    <cellStyle name="20% - Énfasis6" xfId="47" builtinId="50" customBuiltin="1"/>
    <cellStyle name="40% - Énfasis1" xfId="29" builtinId="31" customBuiltin="1"/>
    <cellStyle name="40% - Énfasis2" xfId="33" builtinId="35" customBuiltin="1"/>
    <cellStyle name="40% - Énfasis3" xfId="36" builtinId="39" customBuiltin="1"/>
    <cellStyle name="40% - Énfasis4" xfId="40" builtinId="43" customBuiltin="1"/>
    <cellStyle name="40% - Énfasis5" xfId="44" builtinId="47" customBuiltin="1"/>
    <cellStyle name="40% - Énfasis6" xfId="48" builtinId="51" customBuiltin="1"/>
    <cellStyle name="60% - Énfasis1" xfId="30" builtinId="32" customBuiltin="1"/>
    <cellStyle name="60% - Énfasis2" xfId="34" builtinId="36" customBuiltin="1"/>
    <cellStyle name="60% - Énfasis3" xfId="37" builtinId="40" customBuiltin="1"/>
    <cellStyle name="60% - Énfasis4" xfId="41" builtinId="44" customBuiltin="1"/>
    <cellStyle name="60% - Énfasis5" xfId="45" builtinId="48" customBuiltin="1"/>
    <cellStyle name="60% - Énfasis6" xfId="49" builtinId="52" customBuiltin="1"/>
    <cellStyle name="Bueno" xfId="15" builtinId="26" customBuiltin="1"/>
    <cellStyle name="Cálculo" xfId="20" builtinId="22" customBuiltin="1"/>
    <cellStyle name="Celda de comprobación" xfId="22" builtinId="23" customBuiltin="1"/>
    <cellStyle name="Celda vinculada" xfId="21" builtinId="24" customBuiltin="1"/>
    <cellStyle name="Encabezado 1" xfId="6" builtinId="16" customBuiltin="1"/>
    <cellStyle name="Encabezado 4" xfId="14" builtinId="19" customBuiltin="1"/>
    <cellStyle name="Énfasis1" xfId="27" builtinId="29" customBuiltin="1"/>
    <cellStyle name="Énfasis2" xfId="31" builtinId="33" customBuiltin="1"/>
    <cellStyle name="Énfasis3" xfId="11" builtinId="37" customBuiltin="1"/>
    <cellStyle name="Énfasis4" xfId="38" builtinId="41" customBuiltin="1"/>
    <cellStyle name="Énfasis5" xfId="42" builtinId="45" customBuiltin="1"/>
    <cellStyle name="Énfasis6" xfId="46" builtinId="49" customBuiltin="1"/>
    <cellStyle name="Entrada" xfId="18" builtinId="20" customBuiltin="1"/>
    <cellStyle name="Fecha" xfId="9" xr:uid="{229918B6-DD13-4F5A-97B9-305F7E002AA3}"/>
    <cellStyle name="Hipervínculo" xfId="1" builtinId="8" customBuiltin="1"/>
    <cellStyle name="Incorrecto" xfId="16" builtinId="27" customBuiltin="1"/>
    <cellStyle name="Millares" xfId="4" builtinId="3" customBuiltin="1"/>
    <cellStyle name="Millares [0]" xfId="10" builtinId="6" customBuiltin="1"/>
    <cellStyle name="Moneda" xfId="12" builtinId="4" customBuiltin="1"/>
    <cellStyle name="Moneda [0]" xfId="13" builtinId="7" customBuiltin="1"/>
    <cellStyle name="Neutral" xfId="17" builtinId="28" customBuiltin="1"/>
    <cellStyle name="Normal" xfId="0" builtinId="0" customBuiltin="1"/>
    <cellStyle name="Notas" xfId="24" builtinId="10" customBuiltin="1"/>
    <cellStyle name="Porcentaje" xfId="2" builtinId="5" customBuiltin="1"/>
    <cellStyle name="Salida" xfId="19" builtinId="21" customBuiltin="1"/>
    <cellStyle name="Texto de advertencia" xfId="23" builtinId="11" customBuiltin="1"/>
    <cellStyle name="Texto explicativo" xfId="25" builtinId="53" customBuiltin="1"/>
    <cellStyle name="Título" xfId="5" builtinId="15" customBuiltin="1"/>
    <cellStyle name="Título 2" xfId="7" builtinId="17" customBuiltin="1"/>
    <cellStyle name="Título 3" xfId="8" builtinId="18" customBuiltin="1"/>
    <cellStyle name="Total" xfId="26" builtinId="25" customBuiltin="1"/>
    <cellStyle name="zHiddenText" xfId="3" xr:uid="{26E66EE6-E33F-4D77-BAE4-0FB4F5BBF673}"/>
  </cellStyles>
  <dxfs count="141">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b/>
        <i val="0"/>
        <color theme="0"/>
      </font>
      <border>
        <left style="thin">
          <color rgb="FFC00000"/>
        </left>
        <right style="thin">
          <color rgb="FFC00000"/>
        </right>
        <vertical/>
        <horizontal/>
      </border>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alignment horizontal="left"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font>
        <b/>
      </font>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alignment horizontal="center" vertical="center" textRotation="0" wrapText="1" indent="0" justifyLastLine="0" shrinkToFit="0" readingOrder="0"/>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TableStyle="TableStyleMedium2" defaultPivotStyle="PivotStyleLight16">
    <tableStyle name="Estilo de tabla personalizado" pivot="0" count="4" xr9:uid="{4904D139-63E4-4221-B7C9-C6C5B7A50FAF}">
      <tableStyleElement type="wholeTable" dxfId="140"/>
      <tableStyleElement type="headerRow" dxfId="139"/>
      <tableStyleElement type="firstRowStripe" dxfId="138"/>
      <tableStyleElement type="secondRowStripe" dxfId="137"/>
    </tableStyle>
    <tableStyle name="ListaTareasPendientes" pivot="0" count="9" xr9:uid="{00000000-0011-0000-FFFF-FFFF00000000}">
      <tableStyleElement type="wholeTable" dxfId="136"/>
      <tableStyleElement type="headerRow" dxfId="135"/>
      <tableStyleElement type="totalRow" dxfId="134"/>
      <tableStyleElement type="firstColumn" dxfId="133"/>
      <tableStyleElement type="lastColumn" dxfId="132"/>
      <tableStyleElement type="firstRowStripe" dxfId="131"/>
      <tableStyleElement type="secondRowStripe" dxfId="130"/>
      <tableStyleElement type="firstColumnStripe" dxfId="129"/>
      <tableStyleElement type="secondColumnStripe" dxfId="12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ctrlProps/ctrlProp1.xml><?xml version="1.0" encoding="utf-8"?>
<formControlPr xmlns="http://schemas.microsoft.com/office/spreadsheetml/2009/9/main" objectType="Scroll" dx="39" fmlaLink="$C$8" horiz="1" max="365" page="2" val="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10</xdr:col>
          <xdr:colOff>28575</xdr:colOff>
          <xdr:row>8</xdr:row>
          <xdr:rowOff>57150</xdr:rowOff>
        </xdr:from>
        <xdr:to>
          <xdr:col>44</xdr:col>
          <xdr:colOff>371475</xdr:colOff>
          <xdr:row>9</xdr:row>
          <xdr:rowOff>0</xdr:rowOff>
        </xdr:to>
        <xdr:sp macro="" textlink="">
          <xdr:nvSpPr>
            <xdr:cNvPr id="17409" name="Barra de desplazamiento 1" descr="Scroll bar to scroll through the Ghantt project timeline." hidden="1">
              <a:extLst>
                <a:ext uri="{63B3BB69-23CF-44E3-9099-C40C66FF867C}">
                  <a14:compatExt spid="_x0000_s17409"/>
                </a:ext>
                <a:ext uri="{FF2B5EF4-FFF2-40B4-BE49-F238E27FC236}">
                  <a16:creationId xmlns:a16="http://schemas.microsoft.com/office/drawing/2014/main" id="{00000000-0008-0000-00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Hitos43524" displayName="Hitos43524" ref="B10:I78" totalsRowShown="0" headerRowDxfId="127" dataDxfId="126">
  <autoFilter ref="B10:I78" xr:uid="{29E5A880-80D5-4B65-B5FB-8FB3913D3D27}">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971B905-713A-4980-8BBC-DF959C2E61F9}" name="Descripción del hito" dataDxfId="125"/>
    <tableColumn id="2" xr3:uid="{4492A0B8-068F-4002-9E8D-E1F5FED367F0}" name="Riesgo" dataDxfId="124"/>
    <tableColumn id="3" xr3:uid="{DF1A764E-7050-4528-B7F9-B6AB99372146}" name="Asignado a" dataDxfId="123"/>
    <tableColumn id="4" xr3:uid="{47C54592-75B0-4C70-BBF8-0F40483670E9}" name="Progreso" dataDxfId="122"/>
    <tableColumn id="5" xr3:uid="{663FB5E0-7616-4EA5-B56A-FF069E2E07D7}" name="Inicio" dataDxfId="121" dataCellStyle="Fecha"/>
    <tableColumn id="6" xr3:uid="{3B766962-C06F-4E12-BE91-12AB93439874}" name="Días" dataDxfId="120"/>
    <tableColumn id="7" xr3:uid="{08F98496-3B48-4F56-BFBD-58C0D85570E2}" name="Entregable" dataDxfId="119" dataCellStyle="Millares [0]"/>
    <tableColumn id="8" xr3:uid="{1D43497B-7309-4F86-A72C-6551258439A6}" name="Mitigación" dataDxfId="118" dataCellStyle="Millares [0]"/>
  </tableColumns>
  <tableStyleInfo name="ListaTareasPendientes" showFirstColumn="1" showLastColumn="0" showRowStripes="1" showColumnStripes="0"/>
  <extLst>
    <ext xmlns:x14="http://schemas.microsoft.com/office/spreadsheetml/2009/9/main" uri="{504A1905-F514-4f6f-8877-14C23A59335A}">
      <x14:table altTextSummary="Escriba la información del proyecto en esta tabla. Escriba una descripción del hito de una fase, tarea, actividad, etc. en la columna de debajo de Descripción. Seleccione una categoría en la columna Categoría. Asigne el elemento a alguien de la columna Asignado a. Actualice el progreso y consulte las barras de datos que se actualizan automáticamente en la columna de progreso. Escriba la fecha de inicio en la columna Inicio y el número de días en la columna Número de días. Los datos de Ghantt de las celdas J9 a BM 34 se actualizarán automáticamente. Agregar filas nuevas a la tabla para agregar más tarea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table" Target="../tables/table1.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dimension ref="A1:DB78"/>
  <sheetViews>
    <sheetView showGridLines="0" tabSelected="1" showRuler="0" topLeftCell="B55" zoomScale="70" zoomScaleNormal="70" zoomScalePageLayoutView="70" workbookViewId="0">
      <pane xSplit="8" topLeftCell="J1" activePane="topRight" state="frozen"/>
      <selection activeCell="B3" sqref="B3"/>
      <selection pane="topRight" activeCell="D57" sqref="D57"/>
    </sheetView>
  </sheetViews>
  <sheetFormatPr baseColWidth="10" defaultColWidth="8.85546875" defaultRowHeight="30" customHeight="1" x14ac:dyDescent="0.25"/>
  <cols>
    <col min="1" max="1" width="4.7109375" style="3" customWidth="1"/>
    <col min="2" max="2" width="46.7109375" style="32" bestFit="1" customWidth="1"/>
    <col min="3" max="3" width="16.42578125" style="32" bestFit="1" customWidth="1"/>
    <col min="4" max="4" width="20.5703125" style="32" customWidth="1"/>
    <col min="5" max="5" width="15.7109375" style="51" customWidth="1"/>
    <col min="6" max="6" width="12.42578125" style="32" bestFit="1" customWidth="1"/>
    <col min="7" max="7" width="10.42578125" style="32" customWidth="1"/>
    <col min="8" max="8" width="24" style="32" bestFit="1" customWidth="1"/>
    <col min="9" max="9" width="23.7109375" style="32" bestFit="1" customWidth="1"/>
    <col min="10" max="10" width="2.7109375" customWidth="1"/>
    <col min="11" max="67" width="5.7109375" customWidth="1"/>
  </cols>
  <sheetData>
    <row r="1" spans="1:106" ht="25.15" customHeight="1" x14ac:dyDescent="0.25"/>
    <row r="2" spans="1:106" ht="49.9" customHeight="1" x14ac:dyDescent="0.25">
      <c r="A2" s="4"/>
      <c r="B2" s="61" t="s">
        <v>18</v>
      </c>
      <c r="C2" s="61"/>
      <c r="D2" s="61"/>
      <c r="E2" s="61"/>
      <c r="F2" s="61"/>
      <c r="G2" s="61"/>
      <c r="H2" s="61"/>
      <c r="I2" s="61"/>
      <c r="J2" s="61"/>
      <c r="K2" s="62"/>
      <c r="L2" s="62"/>
      <c r="M2" s="62"/>
      <c r="N2" s="62"/>
      <c r="O2" s="62"/>
      <c r="P2" s="62"/>
      <c r="Q2" s="63"/>
      <c r="R2" s="63"/>
      <c r="S2" s="63"/>
      <c r="T2" s="63"/>
      <c r="U2" s="63"/>
      <c r="V2" s="63"/>
      <c r="W2" s="17"/>
      <c r="X2" s="17"/>
      <c r="Y2" s="17"/>
      <c r="Z2" s="17"/>
      <c r="AA2" s="17"/>
      <c r="AB2" s="17"/>
      <c r="AC2" s="17"/>
      <c r="AD2" s="17"/>
      <c r="AE2" s="17"/>
      <c r="AF2" s="17"/>
      <c r="AG2" s="17"/>
      <c r="AH2" s="17"/>
      <c r="AI2" s="17"/>
      <c r="AJ2" s="17"/>
      <c r="AK2" s="17"/>
      <c r="AL2" s="17"/>
      <c r="AM2" s="17"/>
      <c r="AN2" s="17"/>
      <c r="AO2" s="17"/>
      <c r="AP2" s="17"/>
      <c r="AQ2" s="17"/>
      <c r="AR2" s="17"/>
      <c r="AS2" s="17"/>
      <c r="AT2" s="17"/>
      <c r="AU2" s="17"/>
      <c r="AV2" s="17"/>
      <c r="AW2" s="17"/>
      <c r="AX2" s="17"/>
      <c r="AY2" s="17"/>
      <c r="AZ2" s="17"/>
      <c r="BA2" s="17"/>
      <c r="BB2" s="17"/>
      <c r="BC2" s="17"/>
      <c r="BD2" s="17"/>
      <c r="BE2" s="17"/>
      <c r="BF2" s="17"/>
      <c r="BG2" s="17"/>
      <c r="BH2" s="17"/>
      <c r="BI2" s="17"/>
      <c r="BJ2" s="17"/>
      <c r="BK2" s="17"/>
      <c r="BL2" s="17"/>
      <c r="BM2" s="17"/>
      <c r="BN2" s="17"/>
      <c r="BO2" s="17"/>
    </row>
    <row r="3" spans="1:106" ht="19.899999999999999" customHeight="1" x14ac:dyDescent="0.25">
      <c r="A3" s="4"/>
      <c r="B3" s="42"/>
      <c r="C3" s="43"/>
      <c r="D3" s="34"/>
      <c r="E3" s="31"/>
      <c r="F3" s="33"/>
      <c r="G3" s="34"/>
      <c r="H3" s="34"/>
      <c r="I3" s="34"/>
      <c r="J3" s="8"/>
      <c r="K3" s="11"/>
      <c r="L3" s="1"/>
      <c r="M3" s="1"/>
      <c r="N3" s="1"/>
    </row>
    <row r="4" spans="1:106" ht="30" customHeight="1" x14ac:dyDescent="0.25">
      <c r="A4" s="4"/>
      <c r="B4" s="44" t="s">
        <v>19</v>
      </c>
      <c r="C4" s="45" t="s">
        <v>27</v>
      </c>
      <c r="D4" s="34"/>
      <c r="E4" s="31"/>
      <c r="F4" s="34"/>
      <c r="H4" s="34"/>
      <c r="I4" s="35" t="s">
        <v>10</v>
      </c>
      <c r="J4" s="9"/>
      <c r="K4" s="64" t="s">
        <v>6</v>
      </c>
      <c r="L4" s="64"/>
      <c r="M4" s="64"/>
      <c r="N4" s="64"/>
      <c r="P4" s="65" t="s">
        <v>3</v>
      </c>
      <c r="Q4" s="65"/>
      <c r="R4" s="65"/>
      <c r="S4" s="65"/>
      <c r="U4" s="66" t="s">
        <v>4</v>
      </c>
      <c r="V4" s="66"/>
      <c r="W4" s="66"/>
      <c r="X4" s="66"/>
      <c r="Z4" s="67" t="s">
        <v>5</v>
      </c>
      <c r="AA4" s="67"/>
      <c r="AB4" s="67"/>
      <c r="AC4" s="67"/>
      <c r="AE4" s="60" t="s">
        <v>12</v>
      </c>
      <c r="AF4" s="60"/>
      <c r="AG4" s="60"/>
      <c r="AH4" s="60"/>
    </row>
    <row r="5" spans="1:106" ht="30" customHeight="1" x14ac:dyDescent="0.25">
      <c r="A5" s="4"/>
      <c r="B5" s="46" t="s">
        <v>25</v>
      </c>
      <c r="C5" s="34" t="s">
        <v>28</v>
      </c>
      <c r="D5" s="34"/>
      <c r="E5" s="31"/>
      <c r="F5" s="34"/>
      <c r="G5" s="34"/>
      <c r="H5" s="34"/>
      <c r="I5" s="34"/>
      <c r="J5" s="9"/>
    </row>
    <row r="6" spans="1:106" ht="30" customHeight="1" x14ac:dyDescent="0.25">
      <c r="A6" s="4"/>
      <c r="B6" s="46" t="s">
        <v>26</v>
      </c>
      <c r="C6" s="34" t="s">
        <v>29</v>
      </c>
      <c r="D6" s="34"/>
      <c r="E6" s="31"/>
      <c r="F6" s="34"/>
      <c r="G6" s="34"/>
      <c r="H6" s="34"/>
      <c r="I6" s="34"/>
      <c r="J6" s="9"/>
    </row>
    <row r="7" spans="1:106" ht="30" customHeight="1" x14ac:dyDescent="0.35">
      <c r="A7" s="4"/>
      <c r="B7" s="47" t="s">
        <v>0</v>
      </c>
      <c r="C7" s="40">
        <v>45939</v>
      </c>
      <c r="D7" s="40"/>
      <c r="E7" s="31"/>
      <c r="F7" s="34"/>
      <c r="G7" s="34"/>
      <c r="H7" s="34"/>
      <c r="I7" s="34"/>
      <c r="J7" s="9"/>
      <c r="K7" s="14" t="str">
        <f ca="1">TEXT(K8,"mmmm")</f>
        <v>octubre</v>
      </c>
      <c r="L7" s="14"/>
      <c r="M7" s="14"/>
      <c r="N7" s="14"/>
      <c r="O7" s="14"/>
      <c r="P7" s="14"/>
      <c r="Q7" s="14"/>
      <c r="R7" s="14" t="str">
        <f ca="1">IF(TEXT(R8,"mmmm")=K7,"",TEXT(R8,"mmmm"))</f>
        <v/>
      </c>
      <c r="S7" s="14"/>
      <c r="T7" s="14"/>
      <c r="U7" s="14"/>
      <c r="V7" s="14"/>
      <c r="W7" s="14"/>
      <c r="X7" s="14"/>
      <c r="Y7" s="14" t="str">
        <f ca="1">IF(OR(TEXT(Y8,"mmmm")=R7,TEXT(Y8,"mmmm")=K7),"",TEXT(Y8,"mmmm"))</f>
        <v/>
      </c>
      <c r="Z7" s="14"/>
      <c r="AA7" s="14"/>
      <c r="AB7" s="14"/>
      <c r="AC7" s="14"/>
      <c r="AD7" s="14"/>
      <c r="AE7" s="14"/>
      <c r="AF7" s="14" t="str">
        <f ca="1">IF(OR(TEXT(AF8,"mmmm")=Y7,TEXT(AF8,"mmmm")=R7,TEXT(AF8,"mmmm")=K7),"",TEXT(AF8,"mmmm"))</f>
        <v/>
      </c>
      <c r="AG7" s="14"/>
      <c r="AH7" s="14"/>
      <c r="AI7" s="14"/>
      <c r="AJ7" s="14"/>
      <c r="AK7" s="14"/>
      <c r="AL7" s="14"/>
      <c r="AM7" s="14" t="str">
        <f ca="1">IF(OR(TEXT(AM8,"mmmm")=AF7,TEXT(AM8,"mmmm")=Y7,TEXT(AM8,"mmmm")=R7,TEXT(AM8,"mmmm")=K7),"",TEXT(AM8,"mmmm"))</f>
        <v>noviembre</v>
      </c>
      <c r="AN7" s="14"/>
      <c r="AO7" s="14"/>
      <c r="AP7" s="14"/>
      <c r="AQ7" s="14"/>
      <c r="AR7" s="14"/>
      <c r="AS7" s="14"/>
      <c r="AT7" s="14" t="str">
        <f ca="1">IF(OR(TEXT(AT8,"mmmm")=AM7,TEXT(AT8,"mmmm")=AF7,TEXT(AT8,"mmmm")=Y7,TEXT(AT8,"mmmm")=R7),"",TEXT(AT8,"mmmm"))</f>
        <v/>
      </c>
      <c r="AU7" s="14"/>
      <c r="AV7" s="14"/>
      <c r="AW7" s="14"/>
      <c r="AX7" s="14"/>
      <c r="AY7" s="14"/>
      <c r="AZ7" s="15"/>
      <c r="BA7" s="15" t="str">
        <f ca="1">IF(OR(TEXT(BA8,"mmmm")=AT7,TEXT(BA8,"mmmm")=AM7,TEXT(BA8,"mmmm")=AF7,TEXT(BA8,"mmmm")=Y7),"",TEXT(BA8,"mmmm"))</f>
        <v/>
      </c>
      <c r="BB7" s="15"/>
      <c r="BC7" s="15"/>
      <c r="BD7" s="16"/>
      <c r="BE7" s="13"/>
      <c r="BF7" s="13"/>
      <c r="BG7" s="13"/>
      <c r="BH7" s="13" t="str">
        <f ca="1">IF(OR(TEXT(BH8,"mmmm")=BA7,TEXT(BH8,"mmmm")=AT7,TEXT(BH8,"mmmm")=AM7,TEXT(BH8,"mmmm")=AF7),"",TEXT(BH8,"mmmm"))</f>
        <v/>
      </c>
      <c r="BI7" s="13"/>
      <c r="BJ7" s="13"/>
      <c r="BK7" s="13"/>
      <c r="BL7" s="13"/>
      <c r="BM7" s="13"/>
      <c r="BN7" s="13"/>
      <c r="BO7" s="13"/>
      <c r="BP7" s="13"/>
      <c r="BQ7" s="13"/>
      <c r="BR7" s="13"/>
      <c r="BS7" s="13"/>
      <c r="BT7" s="13"/>
      <c r="BU7" s="14" t="str">
        <f ca="1">IF(OR(TEXT(BU8,"mmmm")=BN7,TEXT(BU8,"mmmm")=BG7,TEXT(BU8,"mmmm")=AZ7,TEXT(BU8,"mmmm")=AS7),"",TEXT(BU8,"mmmm"))</f>
        <v>diciembre</v>
      </c>
      <c r="BV7" s="13"/>
      <c r="BW7" s="13"/>
      <c r="BX7" s="13"/>
      <c r="BY7" s="13"/>
      <c r="BZ7" s="13"/>
      <c r="CA7" s="13"/>
      <c r="CB7" s="13"/>
      <c r="CC7" s="13"/>
      <c r="CD7" s="13"/>
      <c r="CE7" s="13"/>
      <c r="CF7" s="13"/>
      <c r="CG7" s="13"/>
      <c r="CH7" s="13"/>
      <c r="CI7" s="13"/>
      <c r="CJ7" s="13"/>
      <c r="CK7" s="13"/>
      <c r="CL7" s="13"/>
      <c r="CM7" s="13"/>
      <c r="CN7" s="13"/>
      <c r="CO7" s="13"/>
      <c r="CP7" s="13"/>
      <c r="CQ7" s="13"/>
      <c r="CR7" s="13"/>
      <c r="CS7" s="13"/>
      <c r="CT7" s="14" t="str">
        <f ca="1">IF(OR(TEXT(CT8,"mmmm")=CM7,TEXT(CT8,"mmmm")=CF7,TEXT(CT8,"mmmm")=BY7,TEXT(CT8,"mmmm")=BR7),"",TEXT(CT8,"mmmm"))</f>
        <v>enero</v>
      </c>
      <c r="CU7" s="13"/>
      <c r="CV7" s="13"/>
      <c r="CW7" s="13"/>
      <c r="CX7" s="13"/>
      <c r="CY7" s="13"/>
      <c r="CZ7" s="13"/>
      <c r="DA7" s="13"/>
      <c r="DB7" s="13"/>
    </row>
    <row r="8" spans="1:106" ht="30" customHeight="1" x14ac:dyDescent="0.25">
      <c r="A8" s="4"/>
      <c r="B8" s="47" t="s">
        <v>1</v>
      </c>
      <c r="C8" s="34">
        <v>0</v>
      </c>
      <c r="D8" s="34"/>
      <c r="E8" s="31" t="s">
        <v>17</v>
      </c>
      <c r="F8" s="36">
        <f>AVERAGE(E12,E26,E37,E47,E58)</f>
        <v>0.88666666666666671</v>
      </c>
      <c r="G8" s="34"/>
      <c r="H8" s="34"/>
      <c r="I8" s="34"/>
      <c r="J8" s="10"/>
      <c r="K8" s="20">
        <f ca="1">IFERROR(Inicio_del_proyecto+Incremento_de_desplazamiento,TODAY())</f>
        <v>45939</v>
      </c>
      <c r="L8" s="21">
        <f ca="1">K8+1</f>
        <v>45940</v>
      </c>
      <c r="M8" s="21">
        <f t="shared" ref="M8:AZ8" ca="1" si="0">L8+1</f>
        <v>45941</v>
      </c>
      <c r="N8" s="21">
        <f t="shared" ca="1" si="0"/>
        <v>45942</v>
      </c>
      <c r="O8" s="21">
        <f t="shared" ca="1" si="0"/>
        <v>45943</v>
      </c>
      <c r="P8" s="21">
        <f t="shared" ca="1" si="0"/>
        <v>45944</v>
      </c>
      <c r="Q8" s="22">
        <f t="shared" ca="1" si="0"/>
        <v>45945</v>
      </c>
      <c r="R8" s="21">
        <f ca="1">Q8+1</f>
        <v>45946</v>
      </c>
      <c r="S8" s="21">
        <f ca="1">R8+1</f>
        <v>45947</v>
      </c>
      <c r="T8" s="21">
        <f t="shared" ca="1" si="0"/>
        <v>45948</v>
      </c>
      <c r="U8" s="21">
        <f t="shared" ca="1" si="0"/>
        <v>45949</v>
      </c>
      <c r="V8" s="21">
        <f t="shared" ca="1" si="0"/>
        <v>45950</v>
      </c>
      <c r="W8" s="21">
        <f t="shared" ca="1" si="0"/>
        <v>45951</v>
      </c>
      <c r="X8" s="22">
        <f t="shared" ca="1" si="0"/>
        <v>45952</v>
      </c>
      <c r="Y8" s="21">
        <f ca="1">X8+1</f>
        <v>45953</v>
      </c>
      <c r="Z8" s="21">
        <f ca="1">Y8+1</f>
        <v>45954</v>
      </c>
      <c r="AA8" s="21">
        <f t="shared" ca="1" si="0"/>
        <v>45955</v>
      </c>
      <c r="AB8" s="21">
        <f t="shared" ca="1" si="0"/>
        <v>45956</v>
      </c>
      <c r="AC8" s="21">
        <f t="shared" ca="1" si="0"/>
        <v>45957</v>
      </c>
      <c r="AD8" s="21">
        <f t="shared" ca="1" si="0"/>
        <v>45958</v>
      </c>
      <c r="AE8" s="22">
        <f t="shared" ca="1" si="0"/>
        <v>45959</v>
      </c>
      <c r="AF8" s="21">
        <f ca="1">AE8+1</f>
        <v>45960</v>
      </c>
      <c r="AG8" s="21">
        <f ca="1">AF8+1</f>
        <v>45961</v>
      </c>
      <c r="AH8" s="21">
        <f t="shared" ca="1" si="0"/>
        <v>45962</v>
      </c>
      <c r="AI8" s="21">
        <f t="shared" ca="1" si="0"/>
        <v>45963</v>
      </c>
      <c r="AJ8" s="21">
        <f t="shared" ca="1" si="0"/>
        <v>45964</v>
      </c>
      <c r="AK8" s="21">
        <f t="shared" ca="1" si="0"/>
        <v>45965</v>
      </c>
      <c r="AL8" s="22">
        <f t="shared" ca="1" si="0"/>
        <v>45966</v>
      </c>
      <c r="AM8" s="21">
        <f ca="1">AL8+1</f>
        <v>45967</v>
      </c>
      <c r="AN8" s="21">
        <f ca="1">AM8+1</f>
        <v>45968</v>
      </c>
      <c r="AO8" s="21">
        <f t="shared" ca="1" si="0"/>
        <v>45969</v>
      </c>
      <c r="AP8" s="21">
        <f t="shared" ca="1" si="0"/>
        <v>45970</v>
      </c>
      <c r="AQ8" s="21">
        <f t="shared" ca="1" si="0"/>
        <v>45971</v>
      </c>
      <c r="AR8" s="21">
        <f t="shared" ca="1" si="0"/>
        <v>45972</v>
      </c>
      <c r="AS8" s="22">
        <f t="shared" ca="1" si="0"/>
        <v>45973</v>
      </c>
      <c r="AT8" s="21">
        <f ca="1">AS8+1</f>
        <v>45974</v>
      </c>
      <c r="AU8" s="21">
        <f ca="1">AT8+1</f>
        <v>45975</v>
      </c>
      <c r="AV8" s="21">
        <f t="shared" ca="1" si="0"/>
        <v>45976</v>
      </c>
      <c r="AW8" s="21">
        <f t="shared" ca="1" si="0"/>
        <v>45977</v>
      </c>
      <c r="AX8" s="21">
        <f t="shared" ca="1" si="0"/>
        <v>45978</v>
      </c>
      <c r="AY8" s="21">
        <f t="shared" ca="1" si="0"/>
        <v>45979</v>
      </c>
      <c r="AZ8" s="22">
        <f t="shared" ca="1" si="0"/>
        <v>45980</v>
      </c>
      <c r="BA8" s="21">
        <f t="shared" ref="BA8:CF8" ca="1" si="1">AZ8+1</f>
        <v>45981</v>
      </c>
      <c r="BB8" s="21">
        <f t="shared" ca="1" si="1"/>
        <v>45982</v>
      </c>
      <c r="BC8" s="21">
        <f t="shared" ca="1" si="1"/>
        <v>45983</v>
      </c>
      <c r="BD8" s="21">
        <f t="shared" ca="1" si="1"/>
        <v>45984</v>
      </c>
      <c r="BE8" s="21">
        <f t="shared" ca="1" si="1"/>
        <v>45985</v>
      </c>
      <c r="BF8" s="21">
        <f t="shared" ca="1" si="1"/>
        <v>45986</v>
      </c>
      <c r="BG8" s="22">
        <f t="shared" ca="1" si="1"/>
        <v>45987</v>
      </c>
      <c r="BH8" s="21">
        <f t="shared" ca="1" si="1"/>
        <v>45988</v>
      </c>
      <c r="BI8" s="21">
        <f t="shared" ca="1" si="1"/>
        <v>45989</v>
      </c>
      <c r="BJ8" s="21">
        <f t="shared" ca="1" si="1"/>
        <v>45990</v>
      </c>
      <c r="BK8" s="21">
        <f t="shared" ca="1" si="1"/>
        <v>45991</v>
      </c>
      <c r="BL8" s="21">
        <f t="shared" ca="1" si="1"/>
        <v>45992</v>
      </c>
      <c r="BM8" s="21">
        <f t="shared" ca="1" si="1"/>
        <v>45993</v>
      </c>
      <c r="BN8" s="22">
        <f t="shared" ca="1" si="1"/>
        <v>45994</v>
      </c>
      <c r="BO8" s="22">
        <f t="shared" ca="1" si="1"/>
        <v>45995</v>
      </c>
      <c r="BP8" s="22">
        <f t="shared" ca="1" si="1"/>
        <v>45996</v>
      </c>
      <c r="BQ8" s="22">
        <f t="shared" ca="1" si="1"/>
        <v>45997</v>
      </c>
      <c r="BR8" s="22">
        <f t="shared" ca="1" si="1"/>
        <v>45998</v>
      </c>
      <c r="BS8" s="22">
        <f t="shared" ca="1" si="1"/>
        <v>45999</v>
      </c>
      <c r="BT8" s="22">
        <f t="shared" ca="1" si="1"/>
        <v>46000</v>
      </c>
      <c r="BU8" s="22">
        <f t="shared" ca="1" si="1"/>
        <v>46001</v>
      </c>
      <c r="BV8" s="22">
        <f t="shared" ca="1" si="1"/>
        <v>46002</v>
      </c>
      <c r="BW8" s="22">
        <f t="shared" ca="1" si="1"/>
        <v>46003</v>
      </c>
      <c r="BX8" s="22">
        <f t="shared" ca="1" si="1"/>
        <v>46004</v>
      </c>
      <c r="BY8" s="22">
        <f t="shared" ca="1" si="1"/>
        <v>46005</v>
      </c>
      <c r="BZ8" s="22">
        <f t="shared" ca="1" si="1"/>
        <v>46006</v>
      </c>
      <c r="CA8" s="22">
        <f t="shared" ca="1" si="1"/>
        <v>46007</v>
      </c>
      <c r="CB8" s="22">
        <f t="shared" ca="1" si="1"/>
        <v>46008</v>
      </c>
      <c r="CC8" s="22">
        <f t="shared" ca="1" si="1"/>
        <v>46009</v>
      </c>
      <c r="CD8" s="22">
        <f t="shared" ca="1" si="1"/>
        <v>46010</v>
      </c>
      <c r="CE8" s="22">
        <f t="shared" ca="1" si="1"/>
        <v>46011</v>
      </c>
      <c r="CF8" s="22">
        <f t="shared" ca="1" si="1"/>
        <v>46012</v>
      </c>
      <c r="CG8" s="22">
        <f t="shared" ref="CG8:DB8" ca="1" si="2">CF8+1</f>
        <v>46013</v>
      </c>
      <c r="CH8" s="22">
        <f t="shared" ca="1" si="2"/>
        <v>46014</v>
      </c>
      <c r="CI8" s="22">
        <f t="shared" ca="1" si="2"/>
        <v>46015</v>
      </c>
      <c r="CJ8" s="22">
        <f t="shared" ca="1" si="2"/>
        <v>46016</v>
      </c>
      <c r="CK8" s="22">
        <f t="shared" ca="1" si="2"/>
        <v>46017</v>
      </c>
      <c r="CL8" s="22">
        <f t="shared" ca="1" si="2"/>
        <v>46018</v>
      </c>
      <c r="CM8" s="22">
        <f t="shared" ca="1" si="2"/>
        <v>46019</v>
      </c>
      <c r="CN8" s="22">
        <f t="shared" ca="1" si="2"/>
        <v>46020</v>
      </c>
      <c r="CO8" s="22">
        <f t="shared" ca="1" si="2"/>
        <v>46021</v>
      </c>
      <c r="CP8" s="22">
        <f t="shared" ca="1" si="2"/>
        <v>46022</v>
      </c>
      <c r="CQ8" s="22">
        <f t="shared" ca="1" si="2"/>
        <v>46023</v>
      </c>
      <c r="CR8" s="22">
        <f t="shared" ca="1" si="2"/>
        <v>46024</v>
      </c>
      <c r="CS8" s="22">
        <f t="shared" ca="1" si="2"/>
        <v>46025</v>
      </c>
      <c r="CT8" s="22">
        <f t="shared" ca="1" si="2"/>
        <v>46026</v>
      </c>
      <c r="CU8" s="22">
        <f t="shared" ca="1" si="2"/>
        <v>46027</v>
      </c>
      <c r="CV8" s="22">
        <f t="shared" ca="1" si="2"/>
        <v>46028</v>
      </c>
      <c r="CW8" s="22">
        <f t="shared" ca="1" si="2"/>
        <v>46029</v>
      </c>
      <c r="CX8" s="22">
        <f t="shared" ca="1" si="2"/>
        <v>46030</v>
      </c>
      <c r="CY8" s="22">
        <f t="shared" ca="1" si="2"/>
        <v>46031</v>
      </c>
      <c r="CZ8" s="22">
        <f t="shared" ca="1" si="2"/>
        <v>46032</v>
      </c>
      <c r="DA8" s="22">
        <f t="shared" ca="1" si="2"/>
        <v>46033</v>
      </c>
      <c r="DB8" s="22">
        <f t="shared" ca="1" si="2"/>
        <v>46034</v>
      </c>
    </row>
    <row r="9" spans="1:106" ht="19.899999999999999" customHeight="1" x14ac:dyDescent="0.25">
      <c r="A9" s="4"/>
      <c r="B9" s="34"/>
      <c r="C9" s="34"/>
      <c r="D9" s="34"/>
      <c r="E9" s="31"/>
      <c r="F9" s="34"/>
      <c r="G9" s="34"/>
      <c r="H9" s="34"/>
      <c r="I9" s="34"/>
      <c r="J9" s="10"/>
      <c r="K9" s="23"/>
      <c r="L9" s="24"/>
      <c r="M9" s="24"/>
      <c r="N9" s="24"/>
      <c r="O9" s="24"/>
      <c r="P9" s="24"/>
      <c r="Q9" s="24"/>
      <c r="R9" s="25"/>
      <c r="S9" s="24"/>
      <c r="T9" s="24"/>
      <c r="U9" s="24"/>
      <c r="V9" s="24"/>
      <c r="W9" s="24"/>
      <c r="X9" s="26"/>
      <c r="Y9" s="24"/>
      <c r="Z9" s="24"/>
      <c r="AA9" s="24"/>
      <c r="AB9" s="24"/>
      <c r="AC9" s="24"/>
      <c r="AD9" s="24"/>
      <c r="AE9" s="26"/>
      <c r="AF9" s="24"/>
      <c r="AG9" s="24"/>
      <c r="AH9" s="24"/>
      <c r="AI9" s="24"/>
      <c r="AJ9" s="24"/>
      <c r="AK9" s="24"/>
      <c r="AL9" s="26"/>
      <c r="AM9" s="24"/>
      <c r="AN9" s="24"/>
      <c r="AO9" s="24"/>
      <c r="AP9" s="24"/>
      <c r="AQ9" s="24"/>
      <c r="AR9" s="24"/>
      <c r="AS9" s="26"/>
      <c r="AT9" s="24"/>
      <c r="AU9" s="24"/>
      <c r="AV9" s="24"/>
      <c r="AW9" s="24"/>
      <c r="AX9" s="24"/>
      <c r="AY9" s="24"/>
      <c r="AZ9" s="26"/>
      <c r="BA9" s="24"/>
      <c r="BB9" s="24"/>
      <c r="BC9" s="24"/>
      <c r="BD9" s="24"/>
      <c r="BE9" s="24"/>
      <c r="BF9" s="24"/>
      <c r="BG9" s="26"/>
      <c r="BH9" s="24"/>
      <c r="BI9" s="24"/>
      <c r="BJ9" s="24"/>
      <c r="BK9" s="24"/>
      <c r="BL9" s="24"/>
      <c r="BM9" s="24"/>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row>
    <row r="10" spans="1:106" ht="40.15" customHeight="1" x14ac:dyDescent="0.25">
      <c r="A10" s="4"/>
      <c r="B10" s="19" t="s">
        <v>2</v>
      </c>
      <c r="C10" s="19" t="s">
        <v>13</v>
      </c>
      <c r="D10" s="19" t="s">
        <v>7</v>
      </c>
      <c r="E10" s="19" t="s">
        <v>8</v>
      </c>
      <c r="F10" s="19" t="s">
        <v>9</v>
      </c>
      <c r="G10" s="19" t="s">
        <v>11</v>
      </c>
      <c r="H10" s="28" t="s">
        <v>14</v>
      </c>
      <c r="I10" s="28" t="s">
        <v>16</v>
      </c>
      <c r="J10" s="12"/>
      <c r="K10" s="18" t="str">
        <f t="shared" ref="K10:BN10" ca="1" si="3">LEFT(TEXT(K8,"ddd"),1)</f>
        <v>j</v>
      </c>
      <c r="L10" s="18" t="str">
        <f t="shared" ca="1" si="3"/>
        <v>v</v>
      </c>
      <c r="M10" s="18" t="str">
        <f t="shared" ca="1" si="3"/>
        <v>s</v>
      </c>
      <c r="N10" s="18" t="str">
        <f t="shared" ca="1" si="3"/>
        <v>d</v>
      </c>
      <c r="O10" s="18" t="str">
        <f t="shared" ca="1" si="3"/>
        <v>l</v>
      </c>
      <c r="P10" s="18" t="str">
        <f t="shared" ca="1" si="3"/>
        <v>m</v>
      </c>
      <c r="Q10" s="18" t="str">
        <f t="shared" ca="1" si="3"/>
        <v>m</v>
      </c>
      <c r="R10" s="18" t="str">
        <f t="shared" ca="1" si="3"/>
        <v>j</v>
      </c>
      <c r="S10" s="18" t="str">
        <f t="shared" ca="1" si="3"/>
        <v>v</v>
      </c>
      <c r="T10" s="18" t="str">
        <f t="shared" ca="1" si="3"/>
        <v>s</v>
      </c>
      <c r="U10" s="18" t="str">
        <f t="shared" ca="1" si="3"/>
        <v>d</v>
      </c>
      <c r="V10" s="18" t="str">
        <f t="shared" ca="1" si="3"/>
        <v>l</v>
      </c>
      <c r="W10" s="18" t="str">
        <f t="shared" ca="1" si="3"/>
        <v>m</v>
      </c>
      <c r="X10" s="18" t="str">
        <f t="shared" ca="1" si="3"/>
        <v>m</v>
      </c>
      <c r="Y10" s="18" t="str">
        <f t="shared" ca="1" si="3"/>
        <v>j</v>
      </c>
      <c r="Z10" s="18" t="str">
        <f t="shared" ca="1" si="3"/>
        <v>v</v>
      </c>
      <c r="AA10" s="18" t="str">
        <f t="shared" ca="1" si="3"/>
        <v>s</v>
      </c>
      <c r="AB10" s="18" t="str">
        <f t="shared" ca="1" si="3"/>
        <v>d</v>
      </c>
      <c r="AC10" s="18" t="str">
        <f t="shared" ca="1" si="3"/>
        <v>l</v>
      </c>
      <c r="AD10" s="18" t="str">
        <f t="shared" ca="1" si="3"/>
        <v>m</v>
      </c>
      <c r="AE10" s="18" t="str">
        <f t="shared" ca="1" si="3"/>
        <v>m</v>
      </c>
      <c r="AF10" s="18" t="str">
        <f t="shared" ca="1" si="3"/>
        <v>j</v>
      </c>
      <c r="AG10" s="18" t="str">
        <f t="shared" ca="1" si="3"/>
        <v>v</v>
      </c>
      <c r="AH10" s="18" t="str">
        <f t="shared" ca="1" si="3"/>
        <v>s</v>
      </c>
      <c r="AI10" s="18" t="str">
        <f t="shared" ca="1" si="3"/>
        <v>d</v>
      </c>
      <c r="AJ10" s="18" t="str">
        <f t="shared" ca="1" si="3"/>
        <v>l</v>
      </c>
      <c r="AK10" s="18" t="str">
        <f t="shared" ca="1" si="3"/>
        <v>m</v>
      </c>
      <c r="AL10" s="18" t="str">
        <f t="shared" ca="1" si="3"/>
        <v>m</v>
      </c>
      <c r="AM10" s="18" t="str">
        <f t="shared" ca="1" si="3"/>
        <v>j</v>
      </c>
      <c r="AN10" s="18" t="str">
        <f t="shared" ca="1" si="3"/>
        <v>v</v>
      </c>
      <c r="AO10" s="18" t="str">
        <f t="shared" ca="1" si="3"/>
        <v>s</v>
      </c>
      <c r="AP10" s="18" t="str">
        <f t="shared" ca="1" si="3"/>
        <v>d</v>
      </c>
      <c r="AQ10" s="18" t="str">
        <f t="shared" ca="1" si="3"/>
        <v>l</v>
      </c>
      <c r="AR10" s="18" t="str">
        <f t="shared" ca="1" si="3"/>
        <v>m</v>
      </c>
      <c r="AS10" s="18" t="str">
        <f t="shared" ca="1" si="3"/>
        <v>m</v>
      </c>
      <c r="AT10" s="18" t="str">
        <f t="shared" ca="1" si="3"/>
        <v>j</v>
      </c>
      <c r="AU10" s="18" t="str">
        <f t="shared" ca="1" si="3"/>
        <v>v</v>
      </c>
      <c r="AV10" s="18" t="str">
        <f t="shared" ca="1" si="3"/>
        <v>s</v>
      </c>
      <c r="AW10" s="18" t="str">
        <f t="shared" ca="1" si="3"/>
        <v>d</v>
      </c>
      <c r="AX10" s="18" t="str">
        <f t="shared" ca="1" si="3"/>
        <v>l</v>
      </c>
      <c r="AY10" s="18" t="str">
        <f t="shared" ca="1" si="3"/>
        <v>m</v>
      </c>
      <c r="AZ10" s="18" t="str">
        <f t="shared" ca="1" si="3"/>
        <v>m</v>
      </c>
      <c r="BA10" s="18" t="str">
        <f t="shared" ca="1" si="3"/>
        <v>j</v>
      </c>
      <c r="BB10" s="18" t="str">
        <f t="shared" ca="1" si="3"/>
        <v>v</v>
      </c>
      <c r="BC10" s="18" t="str">
        <f t="shared" ca="1" si="3"/>
        <v>s</v>
      </c>
      <c r="BD10" s="18" t="str">
        <f t="shared" ca="1" si="3"/>
        <v>d</v>
      </c>
      <c r="BE10" s="18" t="str">
        <f t="shared" ca="1" si="3"/>
        <v>l</v>
      </c>
      <c r="BF10" s="18" t="str">
        <f t="shared" ca="1" si="3"/>
        <v>m</v>
      </c>
      <c r="BG10" s="18" t="str">
        <f t="shared" ca="1" si="3"/>
        <v>m</v>
      </c>
      <c r="BH10" s="18" t="str">
        <f t="shared" ca="1" si="3"/>
        <v>j</v>
      </c>
      <c r="BI10" s="18" t="str">
        <f t="shared" ca="1" si="3"/>
        <v>v</v>
      </c>
      <c r="BJ10" s="18" t="str">
        <f t="shared" ca="1" si="3"/>
        <v>s</v>
      </c>
      <c r="BK10" s="18" t="str">
        <f t="shared" ca="1" si="3"/>
        <v>d</v>
      </c>
      <c r="BL10" s="18" t="str">
        <f t="shared" ca="1" si="3"/>
        <v>l</v>
      </c>
      <c r="BM10" s="18" t="str">
        <f t="shared" ca="1" si="3"/>
        <v>m</v>
      </c>
      <c r="BN10" s="18" t="str">
        <f t="shared" ca="1" si="3"/>
        <v>m</v>
      </c>
      <c r="BO10" s="18" t="str">
        <f t="shared" ref="BO10:CB10" ca="1" si="4">LEFT(TEXT(BO8,"ddd"),1)</f>
        <v>j</v>
      </c>
      <c r="BP10" s="18" t="str">
        <f t="shared" ca="1" si="4"/>
        <v>v</v>
      </c>
      <c r="BQ10" s="18" t="str">
        <f t="shared" ca="1" si="4"/>
        <v>s</v>
      </c>
      <c r="BR10" s="18" t="str">
        <f t="shared" ca="1" si="4"/>
        <v>d</v>
      </c>
      <c r="BS10" s="18" t="str">
        <f t="shared" ca="1" si="4"/>
        <v>l</v>
      </c>
      <c r="BT10" s="18" t="str">
        <f t="shared" ca="1" si="4"/>
        <v>m</v>
      </c>
      <c r="BU10" s="18" t="str">
        <f t="shared" ca="1" si="4"/>
        <v>m</v>
      </c>
      <c r="BV10" s="18" t="str">
        <f t="shared" ca="1" si="4"/>
        <v>j</v>
      </c>
      <c r="BW10" s="18" t="str">
        <f t="shared" ca="1" si="4"/>
        <v>v</v>
      </c>
      <c r="BX10" s="18" t="str">
        <f t="shared" ca="1" si="4"/>
        <v>s</v>
      </c>
      <c r="BY10" s="18" t="str">
        <f t="shared" ca="1" si="4"/>
        <v>d</v>
      </c>
      <c r="BZ10" s="18" t="str">
        <f t="shared" ca="1" si="4"/>
        <v>l</v>
      </c>
      <c r="CA10" s="18" t="str">
        <f t="shared" ca="1" si="4"/>
        <v>m</v>
      </c>
      <c r="CB10" s="18" t="str">
        <f t="shared" ca="1" si="4"/>
        <v>m</v>
      </c>
      <c r="CC10" s="18" t="str">
        <f t="shared" ref="CC10:CI10" ca="1" si="5">LEFT(TEXT(CC8,"ddd"),1)</f>
        <v>j</v>
      </c>
      <c r="CD10" s="18" t="str">
        <f t="shared" ca="1" si="5"/>
        <v>v</v>
      </c>
      <c r="CE10" s="18" t="str">
        <f t="shared" ca="1" si="5"/>
        <v>s</v>
      </c>
      <c r="CF10" s="18" t="str">
        <f t="shared" ca="1" si="5"/>
        <v>d</v>
      </c>
      <c r="CG10" s="18" t="str">
        <f t="shared" ca="1" si="5"/>
        <v>l</v>
      </c>
      <c r="CH10" s="18" t="str">
        <f t="shared" ca="1" si="5"/>
        <v>m</v>
      </c>
      <c r="CI10" s="18" t="str">
        <f t="shared" ca="1" si="5"/>
        <v>m</v>
      </c>
      <c r="CJ10" s="18" t="str">
        <f t="shared" ref="CJ10:DB10" ca="1" si="6">LEFT(TEXT(CJ8,"ddd"),1)</f>
        <v>j</v>
      </c>
      <c r="CK10" s="18" t="str">
        <f t="shared" ca="1" si="6"/>
        <v>v</v>
      </c>
      <c r="CL10" s="18" t="str">
        <f t="shared" ca="1" si="6"/>
        <v>s</v>
      </c>
      <c r="CM10" s="18" t="str">
        <f t="shared" ca="1" si="6"/>
        <v>d</v>
      </c>
      <c r="CN10" s="18" t="str">
        <f t="shared" ca="1" si="6"/>
        <v>l</v>
      </c>
      <c r="CO10" s="18" t="str">
        <f t="shared" ca="1" si="6"/>
        <v>m</v>
      </c>
      <c r="CP10" s="18" t="str">
        <f t="shared" ca="1" si="6"/>
        <v>m</v>
      </c>
      <c r="CQ10" s="18" t="str">
        <f t="shared" ca="1" si="6"/>
        <v>j</v>
      </c>
      <c r="CR10" s="18" t="str">
        <f t="shared" ca="1" si="6"/>
        <v>v</v>
      </c>
      <c r="CS10" s="18" t="str">
        <f t="shared" ca="1" si="6"/>
        <v>s</v>
      </c>
      <c r="CT10" s="18" t="str">
        <f t="shared" ca="1" si="6"/>
        <v>d</v>
      </c>
      <c r="CU10" s="18" t="str">
        <f t="shared" ca="1" si="6"/>
        <v>l</v>
      </c>
      <c r="CV10" s="18" t="str">
        <f t="shared" ca="1" si="6"/>
        <v>m</v>
      </c>
      <c r="CW10" s="18" t="str">
        <f t="shared" ca="1" si="6"/>
        <v>m</v>
      </c>
      <c r="CX10" s="18" t="str">
        <f t="shared" ca="1" si="6"/>
        <v>j</v>
      </c>
      <c r="CY10" s="18" t="str">
        <f t="shared" ca="1" si="6"/>
        <v>v</v>
      </c>
      <c r="CZ10" s="18" t="str">
        <f t="shared" ca="1" si="6"/>
        <v>s</v>
      </c>
      <c r="DA10" s="18" t="str">
        <f t="shared" ca="1" si="6"/>
        <v>d</v>
      </c>
      <c r="DB10" s="18" t="str">
        <f t="shared" ca="1" si="6"/>
        <v>l</v>
      </c>
    </row>
    <row r="11" spans="1:106" ht="30" hidden="1" customHeight="1" thickBot="1" x14ac:dyDescent="0.3">
      <c r="C11" s="48"/>
      <c r="E11" s="52"/>
      <c r="F11" s="37"/>
      <c r="G11" s="56"/>
      <c r="H11" s="38"/>
      <c r="I11" s="38"/>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row>
    <row r="12" spans="1:106" s="1" customFormat="1" ht="46.5" x14ac:dyDescent="0.25">
      <c r="A12" s="4"/>
      <c r="B12" s="39" t="s">
        <v>24</v>
      </c>
      <c r="C12" s="34"/>
      <c r="D12" s="34"/>
      <c r="E12" s="49">
        <f>AVERAGE(E13:E25)</f>
        <v>1</v>
      </c>
      <c r="F12" s="40"/>
      <c r="G12" s="57"/>
      <c r="H12" s="29"/>
      <c r="I12" s="29"/>
      <c r="J12" s="7"/>
      <c r="K12" s="5" t="str">
        <f t="shared" ref="K12:AP12" ca="1" si="7">IF(AND($C12="Objetivo",K$8&gt;=$F12,K$8&lt;=$F12+$G12-1),2,IF(AND($C12="Hito",K$8&gt;=$F12,K$8&lt;=$F12+$G12-1),1,""))</f>
        <v/>
      </c>
      <c r="L12" s="5" t="str">
        <f t="shared" ca="1" si="7"/>
        <v/>
      </c>
      <c r="M12" s="5" t="str">
        <f t="shared" ca="1" si="7"/>
        <v/>
      </c>
      <c r="N12" s="5" t="str">
        <f t="shared" ca="1" si="7"/>
        <v/>
      </c>
      <c r="O12" s="5" t="str">
        <f t="shared" ca="1" si="7"/>
        <v/>
      </c>
      <c r="P12" s="5" t="str">
        <f t="shared" ca="1" si="7"/>
        <v/>
      </c>
      <c r="Q12" s="5" t="str">
        <f t="shared" ca="1" si="7"/>
        <v/>
      </c>
      <c r="R12" s="5" t="str">
        <f t="shared" ca="1" si="7"/>
        <v/>
      </c>
      <c r="S12" s="5" t="str">
        <f t="shared" ca="1" si="7"/>
        <v/>
      </c>
      <c r="T12" s="5" t="str">
        <f t="shared" ca="1" si="7"/>
        <v/>
      </c>
      <c r="U12" s="5" t="str">
        <f t="shared" ca="1" si="7"/>
        <v/>
      </c>
      <c r="V12" s="5" t="str">
        <f t="shared" ca="1" si="7"/>
        <v/>
      </c>
      <c r="W12" s="5" t="str">
        <f t="shared" ca="1" si="7"/>
        <v/>
      </c>
      <c r="X12" s="5" t="str">
        <f t="shared" ca="1" si="7"/>
        <v/>
      </c>
      <c r="Y12" s="5" t="str">
        <f t="shared" ca="1" si="7"/>
        <v/>
      </c>
      <c r="Z12" s="5" t="str">
        <f t="shared" ca="1" si="7"/>
        <v/>
      </c>
      <c r="AA12" s="5" t="str">
        <f t="shared" ca="1" si="7"/>
        <v/>
      </c>
      <c r="AB12" s="5" t="str">
        <f t="shared" ca="1" si="7"/>
        <v/>
      </c>
      <c r="AC12" s="5" t="str">
        <f t="shared" ca="1" si="7"/>
        <v/>
      </c>
      <c r="AD12" s="5" t="str">
        <f t="shared" ca="1" si="7"/>
        <v/>
      </c>
      <c r="AE12" s="5" t="str">
        <f t="shared" ca="1" si="7"/>
        <v/>
      </c>
      <c r="AF12" s="5" t="str">
        <f t="shared" ca="1" si="7"/>
        <v/>
      </c>
      <c r="AG12" s="5" t="str">
        <f t="shared" ca="1" si="7"/>
        <v/>
      </c>
      <c r="AH12" s="5" t="str">
        <f t="shared" ca="1" si="7"/>
        <v/>
      </c>
      <c r="AI12" s="5" t="str">
        <f t="shared" ca="1" si="7"/>
        <v/>
      </c>
      <c r="AJ12" s="5" t="str">
        <f t="shared" ca="1" si="7"/>
        <v/>
      </c>
      <c r="AK12" s="5" t="str">
        <f t="shared" ca="1" si="7"/>
        <v/>
      </c>
      <c r="AL12" s="5" t="str">
        <f t="shared" ca="1" si="7"/>
        <v/>
      </c>
      <c r="AM12" s="5" t="str">
        <f t="shared" ca="1" si="7"/>
        <v/>
      </c>
      <c r="AN12" s="5" t="str">
        <f t="shared" ca="1" si="7"/>
        <v/>
      </c>
      <c r="AO12" s="5" t="str">
        <f t="shared" ca="1" si="7"/>
        <v/>
      </c>
      <c r="AP12" s="5" t="str">
        <f t="shared" ca="1" si="7"/>
        <v/>
      </c>
      <c r="AQ12" s="5" t="str">
        <f t="shared" ref="AQ12:BV12" ca="1" si="8">IF(AND($C12="Objetivo",AQ$8&gt;=$F12,AQ$8&lt;=$F12+$G12-1),2,IF(AND($C12="Hito",AQ$8&gt;=$F12,AQ$8&lt;=$F12+$G12-1),1,""))</f>
        <v/>
      </c>
      <c r="AR12" s="5" t="str">
        <f t="shared" ca="1" si="8"/>
        <v/>
      </c>
      <c r="AS12" s="5" t="str">
        <f t="shared" ca="1" si="8"/>
        <v/>
      </c>
      <c r="AT12" s="5" t="str">
        <f t="shared" ca="1" si="8"/>
        <v/>
      </c>
      <c r="AU12" s="5" t="str">
        <f t="shared" ca="1" si="8"/>
        <v/>
      </c>
      <c r="AV12" s="5" t="str">
        <f t="shared" ca="1" si="8"/>
        <v/>
      </c>
      <c r="AW12" s="5" t="str">
        <f t="shared" ca="1" si="8"/>
        <v/>
      </c>
      <c r="AX12" s="5" t="str">
        <f t="shared" ca="1" si="8"/>
        <v/>
      </c>
      <c r="AY12" s="5" t="str">
        <f t="shared" ca="1" si="8"/>
        <v/>
      </c>
      <c r="AZ12" s="5" t="str">
        <f t="shared" ca="1" si="8"/>
        <v/>
      </c>
      <c r="BA12" s="5" t="str">
        <f t="shared" ca="1" si="8"/>
        <v/>
      </c>
      <c r="BB12" s="5" t="str">
        <f t="shared" ca="1" si="8"/>
        <v/>
      </c>
      <c r="BC12" s="5" t="str">
        <f t="shared" ca="1" si="8"/>
        <v/>
      </c>
      <c r="BD12" s="5" t="str">
        <f t="shared" ca="1" si="8"/>
        <v/>
      </c>
      <c r="BE12" s="5" t="str">
        <f t="shared" ca="1" si="8"/>
        <v/>
      </c>
      <c r="BF12" s="5" t="str">
        <f t="shared" ca="1" si="8"/>
        <v/>
      </c>
      <c r="BG12" s="5" t="str">
        <f t="shared" ca="1" si="8"/>
        <v/>
      </c>
      <c r="BH12" s="5" t="str">
        <f t="shared" ca="1" si="8"/>
        <v/>
      </c>
      <c r="BI12" s="5" t="str">
        <f t="shared" ca="1" si="8"/>
        <v/>
      </c>
      <c r="BJ12" s="5" t="str">
        <f t="shared" ca="1" si="8"/>
        <v/>
      </c>
      <c r="BK12" s="5" t="str">
        <f t="shared" ca="1" si="8"/>
        <v/>
      </c>
      <c r="BL12" s="5" t="str">
        <f t="shared" ca="1" si="8"/>
        <v/>
      </c>
      <c r="BM12" s="5" t="str">
        <f t="shared" ca="1" si="8"/>
        <v/>
      </c>
      <c r="BN12" s="5" t="str">
        <f t="shared" ca="1" si="8"/>
        <v/>
      </c>
      <c r="BO12" s="5" t="str">
        <f t="shared" ca="1" si="8"/>
        <v/>
      </c>
      <c r="BP12" s="5" t="str">
        <f t="shared" ca="1" si="8"/>
        <v/>
      </c>
      <c r="BQ12" s="5" t="str">
        <f t="shared" ca="1" si="8"/>
        <v/>
      </c>
      <c r="BR12" s="5" t="str">
        <f t="shared" ca="1" si="8"/>
        <v/>
      </c>
      <c r="BS12" s="5" t="str">
        <f t="shared" ca="1" si="8"/>
        <v/>
      </c>
      <c r="BT12" s="5" t="str">
        <f t="shared" ca="1" si="8"/>
        <v/>
      </c>
      <c r="BU12" s="5" t="str">
        <f t="shared" ca="1" si="8"/>
        <v/>
      </c>
      <c r="BV12" s="5" t="str">
        <f t="shared" ca="1" si="8"/>
        <v/>
      </c>
      <c r="BW12" s="5" t="str">
        <f t="shared" ref="BW12:CU12" ca="1" si="9">IF(AND($C12="Objetivo",BW$8&gt;=$F12,BW$8&lt;=$F12+$G12-1),2,IF(AND($C12="Hito",BW$8&gt;=$F12,BW$8&lt;=$F12+$G12-1),1,""))</f>
        <v/>
      </c>
      <c r="BX12" s="5" t="str">
        <f t="shared" ca="1" si="9"/>
        <v/>
      </c>
      <c r="BY12" s="5" t="str">
        <f t="shared" ca="1" si="9"/>
        <v/>
      </c>
      <c r="BZ12" s="5" t="str">
        <f t="shared" ca="1" si="9"/>
        <v/>
      </c>
      <c r="CA12" s="5" t="str">
        <f t="shared" ca="1" si="9"/>
        <v/>
      </c>
      <c r="CB12" s="5" t="str">
        <f t="shared" ca="1" si="9"/>
        <v/>
      </c>
      <c r="CC12" s="5" t="str">
        <f t="shared" ca="1" si="9"/>
        <v/>
      </c>
      <c r="CD12" s="5" t="str">
        <f t="shared" ca="1" si="9"/>
        <v/>
      </c>
      <c r="CE12" s="5" t="str">
        <f t="shared" ca="1" si="9"/>
        <v/>
      </c>
      <c r="CF12" s="5" t="str">
        <f t="shared" ca="1" si="9"/>
        <v/>
      </c>
      <c r="CG12" s="5" t="str">
        <f t="shared" ca="1" si="9"/>
        <v/>
      </c>
      <c r="CH12" s="5" t="str">
        <f t="shared" ca="1" si="9"/>
        <v/>
      </c>
      <c r="CI12" s="5" t="str">
        <f t="shared" ca="1" si="9"/>
        <v/>
      </c>
      <c r="CJ12" s="5" t="str">
        <f t="shared" ca="1" si="9"/>
        <v/>
      </c>
      <c r="CK12" s="5" t="str">
        <f t="shared" ca="1" si="9"/>
        <v/>
      </c>
      <c r="CL12" s="5" t="str">
        <f t="shared" ca="1" si="9"/>
        <v/>
      </c>
      <c r="CM12" s="5" t="str">
        <f t="shared" ca="1" si="9"/>
        <v/>
      </c>
      <c r="CN12" s="5" t="str">
        <f t="shared" ca="1" si="9"/>
        <v/>
      </c>
      <c r="CO12" s="5" t="str">
        <f t="shared" ca="1" si="9"/>
        <v/>
      </c>
      <c r="CP12" s="5" t="str">
        <f t="shared" ca="1" si="9"/>
        <v/>
      </c>
      <c r="CQ12" s="5" t="str">
        <f t="shared" ca="1" si="9"/>
        <v/>
      </c>
      <c r="CR12" s="5" t="str">
        <f t="shared" ca="1" si="9"/>
        <v/>
      </c>
      <c r="CS12" s="5" t="str">
        <f t="shared" ca="1" si="9"/>
        <v/>
      </c>
      <c r="CT12" s="5" t="str">
        <f t="shared" ca="1" si="9"/>
        <v/>
      </c>
      <c r="CU12" s="5" t="str">
        <f t="shared" ca="1" si="9"/>
        <v/>
      </c>
      <c r="CV12" s="5" t="str">
        <f t="shared" ref="CU12:DB27" ca="1" si="10">IF(AND($C12="Objetivo",CV$8&gt;=$F12,CV$8&lt;=$F12+$G12-1),2,IF(AND($C12="Hito",CV$8&gt;=$F12,CV$8&lt;=$F12+$G12-1),1,""))</f>
        <v/>
      </c>
      <c r="CW12" s="5" t="str">
        <f t="shared" ca="1" si="10"/>
        <v/>
      </c>
      <c r="CX12" s="5" t="str">
        <f t="shared" ca="1" si="10"/>
        <v/>
      </c>
      <c r="CY12" s="5" t="str">
        <f t="shared" ca="1" si="10"/>
        <v/>
      </c>
      <c r="CZ12" s="5" t="str">
        <f t="shared" ca="1" si="10"/>
        <v/>
      </c>
      <c r="DA12" s="5" t="str">
        <f t="shared" ca="1" si="10"/>
        <v/>
      </c>
      <c r="DB12" s="5" t="str">
        <f t="shared" ca="1" si="10"/>
        <v/>
      </c>
    </row>
    <row r="13" spans="1:106" s="1" customFormat="1" ht="15" x14ac:dyDescent="0.25">
      <c r="A13" s="4"/>
      <c r="B13" s="41" t="s">
        <v>30</v>
      </c>
      <c r="C13" s="34" t="s">
        <v>5</v>
      </c>
      <c r="D13" s="41" t="s">
        <v>15</v>
      </c>
      <c r="E13" s="50">
        <v>1</v>
      </c>
      <c r="F13" s="40">
        <v>45941</v>
      </c>
      <c r="G13" s="57">
        <v>1</v>
      </c>
      <c r="H13" s="32" t="s">
        <v>43</v>
      </c>
      <c r="I13" s="32" t="s">
        <v>49</v>
      </c>
      <c r="J13" s="7"/>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t="str">
        <f t="shared" ref="BO13:BX16" ca="1" si="11">IF(AND($C13="Objetivo",BO$8&gt;=$F13,BO$8&lt;=$F13+$G13-1),2,IF(AND($C13="Hito",BO$8&gt;=$F13,BO$8&lt;=$F13+$G13-1),1,""))</f>
        <v/>
      </c>
      <c r="BP13" s="5" t="str">
        <f t="shared" ca="1" si="11"/>
        <v/>
      </c>
      <c r="BQ13" s="5" t="str">
        <f t="shared" ca="1" si="11"/>
        <v/>
      </c>
      <c r="BR13" s="5" t="str">
        <f t="shared" ca="1" si="11"/>
        <v/>
      </c>
      <c r="BS13" s="5" t="str">
        <f t="shared" ca="1" si="11"/>
        <v/>
      </c>
      <c r="BT13" s="5" t="str">
        <f t="shared" ca="1" si="11"/>
        <v/>
      </c>
      <c r="BU13" s="5" t="str">
        <f t="shared" ca="1" si="11"/>
        <v/>
      </c>
      <c r="BV13" s="5" t="str">
        <f t="shared" ca="1" si="11"/>
        <v/>
      </c>
      <c r="BW13" s="5" t="str">
        <f t="shared" ca="1" si="11"/>
        <v/>
      </c>
      <c r="BX13" s="5" t="str">
        <f t="shared" ca="1" si="11"/>
        <v/>
      </c>
      <c r="BY13" s="5" t="str">
        <f t="shared" ref="BY13:CH16" ca="1" si="12">IF(AND($C13="Objetivo",BY$8&gt;=$F13,BY$8&lt;=$F13+$G13-1),2,IF(AND($C13="Hito",BY$8&gt;=$F13,BY$8&lt;=$F13+$G13-1),1,""))</f>
        <v/>
      </c>
      <c r="BZ13" s="5" t="str">
        <f t="shared" ca="1" si="12"/>
        <v/>
      </c>
      <c r="CA13" s="5" t="str">
        <f t="shared" ca="1" si="12"/>
        <v/>
      </c>
      <c r="CB13" s="5" t="str">
        <f t="shared" ca="1" si="12"/>
        <v/>
      </c>
      <c r="CC13" s="5" t="str">
        <f t="shared" ca="1" si="12"/>
        <v/>
      </c>
      <c r="CD13" s="5" t="str">
        <f t="shared" ca="1" si="12"/>
        <v/>
      </c>
      <c r="CE13" s="5" t="str">
        <f t="shared" ca="1" si="12"/>
        <v/>
      </c>
      <c r="CF13" s="5" t="str">
        <f t="shared" ca="1" si="12"/>
        <v/>
      </c>
      <c r="CG13" s="5" t="str">
        <f t="shared" ca="1" si="12"/>
        <v/>
      </c>
      <c r="CH13" s="5" t="str">
        <f t="shared" ca="1" si="12"/>
        <v/>
      </c>
      <c r="CI13" s="5" t="str">
        <f t="shared" ref="CI13:CR16" ca="1" si="13">IF(AND($C13="Objetivo",CI$8&gt;=$F13,CI$8&lt;=$F13+$G13-1),2,IF(AND($C13="Hito",CI$8&gt;=$F13,CI$8&lt;=$F13+$G13-1),1,""))</f>
        <v/>
      </c>
      <c r="CJ13" s="5" t="str">
        <f t="shared" ca="1" si="13"/>
        <v/>
      </c>
      <c r="CK13" s="5" t="str">
        <f t="shared" ca="1" si="13"/>
        <v/>
      </c>
      <c r="CL13" s="5" t="str">
        <f t="shared" ca="1" si="13"/>
        <v/>
      </c>
      <c r="CM13" s="5" t="str">
        <f t="shared" ca="1" si="13"/>
        <v/>
      </c>
      <c r="CN13" s="5" t="str">
        <f t="shared" ca="1" si="13"/>
        <v/>
      </c>
      <c r="CO13" s="5" t="str">
        <f t="shared" ca="1" si="13"/>
        <v/>
      </c>
      <c r="CP13" s="5" t="str">
        <f t="shared" ca="1" si="13"/>
        <v/>
      </c>
      <c r="CQ13" s="5" t="str">
        <f t="shared" ca="1" si="13"/>
        <v/>
      </c>
      <c r="CR13" s="5" t="str">
        <f t="shared" ca="1" si="13"/>
        <v/>
      </c>
      <c r="CS13" s="5" t="str">
        <f t="shared" ref="CS13:DB16" ca="1" si="14">IF(AND($C13="Objetivo",CS$8&gt;=$F13,CS$8&lt;=$F13+$G13-1),2,IF(AND($C13="Hito",CS$8&gt;=$F13,CS$8&lt;=$F13+$G13-1),1,""))</f>
        <v/>
      </c>
      <c r="CT13" s="5" t="str">
        <f t="shared" ca="1" si="14"/>
        <v/>
      </c>
      <c r="CU13" s="5" t="str">
        <f t="shared" ca="1" si="14"/>
        <v/>
      </c>
      <c r="CV13" s="5" t="str">
        <f t="shared" ca="1" si="14"/>
        <v/>
      </c>
      <c r="CW13" s="5" t="str">
        <f t="shared" ca="1" si="14"/>
        <v/>
      </c>
      <c r="CX13" s="5" t="str">
        <f t="shared" ca="1" si="14"/>
        <v/>
      </c>
      <c r="CY13" s="5" t="str">
        <f t="shared" ca="1" si="14"/>
        <v/>
      </c>
      <c r="CZ13" s="5" t="str">
        <f t="shared" ca="1" si="14"/>
        <v/>
      </c>
      <c r="DA13" s="5" t="str">
        <f t="shared" ca="1" si="14"/>
        <v/>
      </c>
      <c r="DB13" s="5" t="str">
        <f t="shared" ca="1" si="14"/>
        <v/>
      </c>
    </row>
    <row r="14" spans="1:106" s="1" customFormat="1" ht="15" x14ac:dyDescent="0.25">
      <c r="A14" s="4"/>
      <c r="B14" s="32" t="s">
        <v>31</v>
      </c>
      <c r="C14" s="34" t="s">
        <v>5</v>
      </c>
      <c r="D14" s="41" t="s">
        <v>35</v>
      </c>
      <c r="E14" s="50">
        <v>1</v>
      </c>
      <c r="F14" s="40">
        <v>45942</v>
      </c>
      <c r="G14" s="57">
        <v>1</v>
      </c>
      <c r="H14" s="32" t="s">
        <v>44</v>
      </c>
      <c r="I14" s="32" t="s">
        <v>50</v>
      </c>
      <c r="J14" s="7"/>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t="str">
        <f t="shared" ca="1" si="11"/>
        <v/>
      </c>
      <c r="BP14" s="5" t="str">
        <f t="shared" ca="1" si="11"/>
        <v/>
      </c>
      <c r="BQ14" s="5" t="str">
        <f t="shared" ca="1" si="11"/>
        <v/>
      </c>
      <c r="BR14" s="5" t="str">
        <f t="shared" ca="1" si="11"/>
        <v/>
      </c>
      <c r="BS14" s="5" t="str">
        <f t="shared" ca="1" si="11"/>
        <v/>
      </c>
      <c r="BT14" s="5" t="str">
        <f t="shared" ca="1" si="11"/>
        <v/>
      </c>
      <c r="BU14" s="5" t="str">
        <f t="shared" ca="1" si="11"/>
        <v/>
      </c>
      <c r="BV14" s="5" t="str">
        <f t="shared" ca="1" si="11"/>
        <v/>
      </c>
      <c r="BW14" s="5" t="str">
        <f t="shared" ca="1" si="11"/>
        <v/>
      </c>
      <c r="BX14" s="5" t="str">
        <f t="shared" ca="1" si="11"/>
        <v/>
      </c>
      <c r="BY14" s="5" t="str">
        <f t="shared" ca="1" si="12"/>
        <v/>
      </c>
      <c r="BZ14" s="5" t="str">
        <f t="shared" ca="1" si="12"/>
        <v/>
      </c>
      <c r="CA14" s="5" t="str">
        <f t="shared" ca="1" si="12"/>
        <v/>
      </c>
      <c r="CB14" s="5" t="str">
        <f t="shared" ca="1" si="12"/>
        <v/>
      </c>
      <c r="CC14" s="5" t="str">
        <f t="shared" ca="1" si="12"/>
        <v/>
      </c>
      <c r="CD14" s="5" t="str">
        <f t="shared" ca="1" si="12"/>
        <v/>
      </c>
      <c r="CE14" s="5" t="str">
        <f t="shared" ca="1" si="12"/>
        <v/>
      </c>
      <c r="CF14" s="5" t="str">
        <f t="shared" ca="1" si="12"/>
        <v/>
      </c>
      <c r="CG14" s="5" t="str">
        <f t="shared" ca="1" si="12"/>
        <v/>
      </c>
      <c r="CH14" s="5" t="str">
        <f t="shared" ca="1" si="12"/>
        <v/>
      </c>
      <c r="CI14" s="5" t="str">
        <f t="shared" ca="1" si="13"/>
        <v/>
      </c>
      <c r="CJ14" s="5" t="str">
        <f t="shared" ca="1" si="13"/>
        <v/>
      </c>
      <c r="CK14" s="5" t="str">
        <f t="shared" ca="1" si="13"/>
        <v/>
      </c>
      <c r="CL14" s="5" t="str">
        <f t="shared" ca="1" si="13"/>
        <v/>
      </c>
      <c r="CM14" s="5" t="str">
        <f t="shared" ca="1" si="13"/>
        <v/>
      </c>
      <c r="CN14" s="5" t="str">
        <f t="shared" ca="1" si="13"/>
        <v/>
      </c>
      <c r="CO14" s="5" t="str">
        <f t="shared" ca="1" si="13"/>
        <v/>
      </c>
      <c r="CP14" s="5" t="str">
        <f t="shared" ca="1" si="13"/>
        <v/>
      </c>
      <c r="CQ14" s="5" t="str">
        <f t="shared" ca="1" si="13"/>
        <v/>
      </c>
      <c r="CR14" s="5" t="str">
        <f t="shared" ca="1" si="13"/>
        <v/>
      </c>
      <c r="CS14" s="5" t="str">
        <f t="shared" ca="1" si="14"/>
        <v/>
      </c>
      <c r="CT14" s="5" t="str">
        <f t="shared" ca="1" si="14"/>
        <v/>
      </c>
      <c r="CU14" s="5" t="str">
        <f t="shared" ca="1" si="14"/>
        <v/>
      </c>
      <c r="CV14" s="5" t="str">
        <f t="shared" ca="1" si="14"/>
        <v/>
      </c>
      <c r="CW14" s="5" t="str">
        <f t="shared" ca="1" si="14"/>
        <v/>
      </c>
      <c r="CX14" s="5" t="str">
        <f t="shared" ca="1" si="14"/>
        <v/>
      </c>
      <c r="CY14" s="5" t="str">
        <f t="shared" ca="1" si="14"/>
        <v/>
      </c>
      <c r="CZ14" s="5" t="str">
        <f t="shared" ca="1" si="14"/>
        <v/>
      </c>
      <c r="DA14" s="5" t="str">
        <f t="shared" ca="1" si="14"/>
        <v/>
      </c>
      <c r="DB14" s="5" t="str">
        <f t="shared" ca="1" si="14"/>
        <v/>
      </c>
    </row>
    <row r="15" spans="1:106" s="1" customFormat="1" ht="15" x14ac:dyDescent="0.25">
      <c r="A15" s="4"/>
      <c r="B15" s="34" t="s">
        <v>32</v>
      </c>
      <c r="C15" s="34" t="s">
        <v>5</v>
      </c>
      <c r="D15" s="41" t="s">
        <v>35</v>
      </c>
      <c r="E15" s="50">
        <v>1</v>
      </c>
      <c r="F15" s="40">
        <v>45943</v>
      </c>
      <c r="G15" s="57">
        <v>2</v>
      </c>
      <c r="H15" s="32" t="s">
        <v>45</v>
      </c>
      <c r="I15" s="32" t="s">
        <v>51</v>
      </c>
      <c r="J15" s="7"/>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t="str">
        <f t="shared" ca="1" si="11"/>
        <v/>
      </c>
      <c r="BP15" s="5" t="str">
        <f t="shared" ca="1" si="11"/>
        <v/>
      </c>
      <c r="BQ15" s="5" t="str">
        <f t="shared" ca="1" si="11"/>
        <v/>
      </c>
      <c r="BR15" s="5" t="str">
        <f t="shared" ca="1" si="11"/>
        <v/>
      </c>
      <c r="BS15" s="5" t="str">
        <f t="shared" ca="1" si="11"/>
        <v/>
      </c>
      <c r="BT15" s="5" t="str">
        <f t="shared" ca="1" si="11"/>
        <v/>
      </c>
      <c r="BU15" s="5" t="str">
        <f t="shared" ca="1" si="11"/>
        <v/>
      </c>
      <c r="BV15" s="5" t="str">
        <f t="shared" ca="1" si="11"/>
        <v/>
      </c>
      <c r="BW15" s="5" t="str">
        <f t="shared" ca="1" si="11"/>
        <v/>
      </c>
      <c r="BX15" s="5" t="str">
        <f t="shared" ca="1" si="11"/>
        <v/>
      </c>
      <c r="BY15" s="5" t="str">
        <f t="shared" ca="1" si="12"/>
        <v/>
      </c>
      <c r="BZ15" s="5" t="str">
        <f t="shared" ca="1" si="12"/>
        <v/>
      </c>
      <c r="CA15" s="5" t="str">
        <f t="shared" ca="1" si="12"/>
        <v/>
      </c>
      <c r="CB15" s="5" t="str">
        <f t="shared" ca="1" si="12"/>
        <v/>
      </c>
      <c r="CC15" s="5" t="str">
        <f t="shared" ca="1" si="12"/>
        <v/>
      </c>
      <c r="CD15" s="5" t="str">
        <f t="shared" ca="1" si="12"/>
        <v/>
      </c>
      <c r="CE15" s="5" t="str">
        <f t="shared" ca="1" si="12"/>
        <v/>
      </c>
      <c r="CF15" s="5" t="str">
        <f t="shared" ca="1" si="12"/>
        <v/>
      </c>
      <c r="CG15" s="5" t="str">
        <f t="shared" ca="1" si="12"/>
        <v/>
      </c>
      <c r="CH15" s="5" t="str">
        <f t="shared" ca="1" si="12"/>
        <v/>
      </c>
      <c r="CI15" s="5" t="str">
        <f t="shared" ca="1" si="13"/>
        <v/>
      </c>
      <c r="CJ15" s="5" t="str">
        <f t="shared" ca="1" si="13"/>
        <v/>
      </c>
      <c r="CK15" s="5" t="str">
        <f t="shared" ca="1" si="13"/>
        <v/>
      </c>
      <c r="CL15" s="5" t="str">
        <f t="shared" ca="1" si="13"/>
        <v/>
      </c>
      <c r="CM15" s="5" t="str">
        <f t="shared" ca="1" si="13"/>
        <v/>
      </c>
      <c r="CN15" s="5" t="str">
        <f t="shared" ca="1" si="13"/>
        <v/>
      </c>
      <c r="CO15" s="5" t="str">
        <f t="shared" ca="1" si="13"/>
        <v/>
      </c>
      <c r="CP15" s="5" t="str">
        <f t="shared" ca="1" si="13"/>
        <v/>
      </c>
      <c r="CQ15" s="5" t="str">
        <f t="shared" ca="1" si="13"/>
        <v/>
      </c>
      <c r="CR15" s="5" t="str">
        <f t="shared" ca="1" si="13"/>
        <v/>
      </c>
      <c r="CS15" s="5" t="str">
        <f t="shared" ca="1" si="14"/>
        <v/>
      </c>
      <c r="CT15" s="5" t="str">
        <f t="shared" ca="1" si="14"/>
        <v/>
      </c>
      <c r="CU15" s="5" t="str">
        <f t="shared" ca="1" si="14"/>
        <v/>
      </c>
      <c r="CV15" s="5" t="str">
        <f t="shared" ca="1" si="14"/>
        <v/>
      </c>
      <c r="CW15" s="5" t="str">
        <f t="shared" ca="1" si="14"/>
        <v/>
      </c>
      <c r="CX15" s="5" t="str">
        <f t="shared" ca="1" si="14"/>
        <v/>
      </c>
      <c r="CY15" s="5" t="str">
        <f t="shared" ca="1" si="14"/>
        <v/>
      </c>
      <c r="CZ15" s="5" t="str">
        <f t="shared" ca="1" si="14"/>
        <v/>
      </c>
      <c r="DA15" s="5" t="str">
        <f t="shared" ca="1" si="14"/>
        <v/>
      </c>
      <c r="DB15" s="5" t="str">
        <f t="shared" ca="1" si="14"/>
        <v/>
      </c>
    </row>
    <row r="16" spans="1:106" s="1" customFormat="1" ht="15" x14ac:dyDescent="0.25">
      <c r="A16" s="4"/>
      <c r="B16" s="41" t="s">
        <v>33</v>
      </c>
      <c r="C16" s="34" t="s">
        <v>5</v>
      </c>
      <c r="D16" s="41" t="s">
        <v>35</v>
      </c>
      <c r="E16" s="50">
        <v>1</v>
      </c>
      <c r="F16" s="40">
        <v>45942</v>
      </c>
      <c r="G16" s="57">
        <v>1</v>
      </c>
      <c r="H16" s="32" t="s">
        <v>46</v>
      </c>
      <c r="I16" s="32" t="s">
        <v>52</v>
      </c>
      <c r="J16" s="7"/>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t="str">
        <f t="shared" ca="1" si="11"/>
        <v/>
      </c>
      <c r="BP16" s="5" t="str">
        <f t="shared" ca="1" si="11"/>
        <v/>
      </c>
      <c r="BQ16" s="5" t="str">
        <f t="shared" ca="1" si="11"/>
        <v/>
      </c>
      <c r="BR16" s="5" t="str">
        <f t="shared" ca="1" si="11"/>
        <v/>
      </c>
      <c r="BS16" s="5" t="str">
        <f t="shared" ca="1" si="11"/>
        <v/>
      </c>
      <c r="BT16" s="5" t="str">
        <f t="shared" ca="1" si="11"/>
        <v/>
      </c>
      <c r="BU16" s="5" t="str">
        <f t="shared" ca="1" si="11"/>
        <v/>
      </c>
      <c r="BV16" s="5" t="str">
        <f t="shared" ca="1" si="11"/>
        <v/>
      </c>
      <c r="BW16" s="5" t="str">
        <f t="shared" ca="1" si="11"/>
        <v/>
      </c>
      <c r="BX16" s="5" t="str">
        <f t="shared" ca="1" si="11"/>
        <v/>
      </c>
      <c r="BY16" s="5" t="str">
        <f t="shared" ca="1" si="12"/>
        <v/>
      </c>
      <c r="BZ16" s="5" t="str">
        <f t="shared" ca="1" si="12"/>
        <v/>
      </c>
      <c r="CA16" s="5" t="str">
        <f t="shared" ca="1" si="12"/>
        <v/>
      </c>
      <c r="CB16" s="5" t="str">
        <f t="shared" ca="1" si="12"/>
        <v/>
      </c>
      <c r="CC16" s="5" t="str">
        <f t="shared" ca="1" si="12"/>
        <v/>
      </c>
      <c r="CD16" s="5" t="str">
        <f t="shared" ca="1" si="12"/>
        <v/>
      </c>
      <c r="CE16" s="5" t="str">
        <f t="shared" ca="1" si="12"/>
        <v/>
      </c>
      <c r="CF16" s="5" t="str">
        <f t="shared" ca="1" si="12"/>
        <v/>
      </c>
      <c r="CG16" s="5" t="str">
        <f t="shared" ca="1" si="12"/>
        <v/>
      </c>
      <c r="CH16" s="5" t="str">
        <f t="shared" ca="1" si="12"/>
        <v/>
      </c>
      <c r="CI16" s="5" t="str">
        <f t="shared" ca="1" si="13"/>
        <v/>
      </c>
      <c r="CJ16" s="5" t="str">
        <f t="shared" ca="1" si="13"/>
        <v/>
      </c>
      <c r="CK16" s="5" t="str">
        <f t="shared" ca="1" si="13"/>
        <v/>
      </c>
      <c r="CL16" s="5" t="str">
        <f t="shared" ca="1" si="13"/>
        <v/>
      </c>
      <c r="CM16" s="5" t="str">
        <f t="shared" ca="1" si="13"/>
        <v/>
      </c>
      <c r="CN16" s="5" t="str">
        <f t="shared" ca="1" si="13"/>
        <v/>
      </c>
      <c r="CO16" s="5" t="str">
        <f t="shared" ca="1" si="13"/>
        <v/>
      </c>
      <c r="CP16" s="5" t="str">
        <f t="shared" ca="1" si="13"/>
        <v/>
      </c>
      <c r="CQ16" s="5" t="str">
        <f t="shared" ca="1" si="13"/>
        <v/>
      </c>
      <c r="CR16" s="5" t="str">
        <f t="shared" ca="1" si="13"/>
        <v/>
      </c>
      <c r="CS16" s="5" t="str">
        <f t="shared" ca="1" si="14"/>
        <v/>
      </c>
      <c r="CT16" s="5" t="str">
        <f t="shared" ca="1" si="14"/>
        <v/>
      </c>
      <c r="CU16" s="5" t="str">
        <f t="shared" ca="1" si="14"/>
        <v/>
      </c>
      <c r="CV16" s="5" t="str">
        <f t="shared" ca="1" si="14"/>
        <v/>
      </c>
      <c r="CW16" s="5" t="str">
        <f t="shared" ca="1" si="14"/>
        <v/>
      </c>
      <c r="CX16" s="5" t="str">
        <f t="shared" ca="1" si="14"/>
        <v/>
      </c>
      <c r="CY16" s="5" t="str">
        <f t="shared" ca="1" si="14"/>
        <v/>
      </c>
      <c r="CZ16" s="5" t="str">
        <f t="shared" ca="1" si="14"/>
        <v/>
      </c>
      <c r="DA16" s="5" t="str">
        <f t="shared" ca="1" si="14"/>
        <v/>
      </c>
      <c r="DB16" s="5" t="str">
        <f t="shared" ca="1" si="14"/>
        <v/>
      </c>
    </row>
    <row r="17" spans="1:106" s="1" customFormat="1" ht="15" x14ac:dyDescent="0.25">
      <c r="A17" s="4"/>
      <c r="B17" s="41" t="s">
        <v>34</v>
      </c>
      <c r="C17" s="34" t="s">
        <v>4</v>
      </c>
      <c r="D17" s="41" t="s">
        <v>37</v>
      </c>
      <c r="E17" s="50">
        <v>1</v>
      </c>
      <c r="F17" s="40">
        <v>45945</v>
      </c>
      <c r="G17" s="57">
        <v>1</v>
      </c>
      <c r="H17" s="29" t="s">
        <v>47</v>
      </c>
      <c r="I17" s="32" t="s">
        <v>53</v>
      </c>
      <c r="J17" s="7"/>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t="str">
        <f t="shared" ref="BO17:CT17" ca="1" si="15">IF(AND($C17="Objetivo",BO$8&gt;=$F17,BO$8&lt;=$F17+$G17-1),2,IF(AND($C17="Hito",BO$8&gt;=$F17,BO$8&lt;=$F17+$G17-1),1,""))</f>
        <v/>
      </c>
      <c r="BP17" s="5" t="str">
        <f t="shared" ca="1" si="15"/>
        <v/>
      </c>
      <c r="BQ17" s="5" t="str">
        <f t="shared" ca="1" si="15"/>
        <v/>
      </c>
      <c r="BR17" s="5" t="str">
        <f t="shared" ca="1" si="15"/>
        <v/>
      </c>
      <c r="BS17" s="5" t="str">
        <f t="shared" ca="1" si="15"/>
        <v/>
      </c>
      <c r="BT17" s="5" t="str">
        <f t="shared" ca="1" si="15"/>
        <v/>
      </c>
      <c r="BU17" s="5" t="str">
        <f t="shared" ca="1" si="15"/>
        <v/>
      </c>
      <c r="BV17" s="5" t="str">
        <f t="shared" ca="1" si="15"/>
        <v/>
      </c>
      <c r="BW17" s="5" t="str">
        <f t="shared" ca="1" si="15"/>
        <v/>
      </c>
      <c r="BX17" s="5" t="str">
        <f t="shared" ca="1" si="15"/>
        <v/>
      </c>
      <c r="BY17" s="5" t="str">
        <f t="shared" ca="1" si="15"/>
        <v/>
      </c>
      <c r="BZ17" s="5" t="str">
        <f t="shared" ca="1" si="15"/>
        <v/>
      </c>
      <c r="CA17" s="5" t="str">
        <f t="shared" ca="1" si="15"/>
        <v/>
      </c>
      <c r="CB17" s="5" t="str">
        <f t="shared" ca="1" si="15"/>
        <v/>
      </c>
      <c r="CC17" s="5" t="str">
        <f t="shared" ca="1" si="15"/>
        <v/>
      </c>
      <c r="CD17" s="5" t="str">
        <f t="shared" ca="1" si="15"/>
        <v/>
      </c>
      <c r="CE17" s="5" t="str">
        <f t="shared" ca="1" si="15"/>
        <v/>
      </c>
      <c r="CF17" s="5" t="str">
        <f t="shared" ca="1" si="15"/>
        <v/>
      </c>
      <c r="CG17" s="5" t="str">
        <f t="shared" ca="1" si="15"/>
        <v/>
      </c>
      <c r="CH17" s="5" t="str">
        <f t="shared" ca="1" si="15"/>
        <v/>
      </c>
      <c r="CI17" s="5" t="str">
        <f t="shared" ca="1" si="15"/>
        <v/>
      </c>
      <c r="CJ17" s="5" t="str">
        <f t="shared" ca="1" si="15"/>
        <v/>
      </c>
      <c r="CK17" s="5" t="str">
        <f t="shared" ca="1" si="15"/>
        <v/>
      </c>
      <c r="CL17" s="5" t="str">
        <f t="shared" ca="1" si="15"/>
        <v/>
      </c>
      <c r="CM17" s="5" t="str">
        <f t="shared" ca="1" si="15"/>
        <v/>
      </c>
      <c r="CN17" s="5" t="str">
        <f t="shared" ca="1" si="15"/>
        <v/>
      </c>
      <c r="CO17" s="5" t="str">
        <f t="shared" ca="1" si="15"/>
        <v/>
      </c>
      <c r="CP17" s="5" t="str">
        <f t="shared" ca="1" si="15"/>
        <v/>
      </c>
      <c r="CQ17" s="5" t="str">
        <f t="shared" ca="1" si="15"/>
        <v/>
      </c>
      <c r="CR17" s="5" t="str">
        <f t="shared" ca="1" si="15"/>
        <v/>
      </c>
      <c r="CS17" s="5" t="str">
        <f t="shared" ca="1" si="15"/>
        <v/>
      </c>
      <c r="CT17" s="5" t="str">
        <f t="shared" ca="1" si="15"/>
        <v/>
      </c>
      <c r="CU17" s="5" t="str">
        <f t="shared" ca="1" si="10"/>
        <v/>
      </c>
      <c r="CV17" s="5" t="str">
        <f t="shared" ca="1" si="10"/>
        <v/>
      </c>
      <c r="CW17" s="5" t="str">
        <f t="shared" ca="1" si="10"/>
        <v/>
      </c>
      <c r="CX17" s="5" t="str">
        <f t="shared" ca="1" si="10"/>
        <v/>
      </c>
      <c r="CY17" s="5" t="str">
        <f t="shared" ca="1" si="10"/>
        <v/>
      </c>
      <c r="CZ17" s="5" t="str">
        <f t="shared" ca="1" si="10"/>
        <v/>
      </c>
      <c r="DA17" s="5" t="str">
        <f t="shared" ca="1" si="10"/>
        <v/>
      </c>
      <c r="DB17" s="5" t="str">
        <f t="shared" ca="1" si="10"/>
        <v/>
      </c>
    </row>
    <row r="18" spans="1:106" s="1" customFormat="1" x14ac:dyDescent="0.25">
      <c r="A18" s="4"/>
      <c r="B18" s="41" t="s">
        <v>36</v>
      </c>
      <c r="C18" s="34" t="s">
        <v>3</v>
      </c>
      <c r="D18" s="32" t="s">
        <v>37</v>
      </c>
      <c r="E18" s="50">
        <v>1</v>
      </c>
      <c r="F18" s="40">
        <v>45945</v>
      </c>
      <c r="G18" s="57">
        <v>1</v>
      </c>
      <c r="H18" s="32" t="s">
        <v>48</v>
      </c>
      <c r="I18" s="29" t="s">
        <v>54</v>
      </c>
      <c r="J18" s="7"/>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t="str">
        <f t="shared" ref="BO18:BX20" ca="1" si="16">IF(AND($C18="Objetivo",BO$8&gt;=$F18,BO$8&lt;=$F18+$G18-1),2,IF(AND($C18="Hito",BO$8&gt;=$F18,BO$8&lt;=$F18+$G18-1),1,""))</f>
        <v/>
      </c>
      <c r="BP18" s="5" t="str">
        <f t="shared" ca="1" si="16"/>
        <v/>
      </c>
      <c r="BQ18" s="5" t="str">
        <f t="shared" ca="1" si="16"/>
        <v/>
      </c>
      <c r="BR18" s="5" t="str">
        <f t="shared" ca="1" si="16"/>
        <v/>
      </c>
      <c r="BS18" s="5" t="str">
        <f t="shared" ca="1" si="16"/>
        <v/>
      </c>
      <c r="BT18" s="5" t="str">
        <f t="shared" ca="1" si="16"/>
        <v/>
      </c>
      <c r="BU18" s="5" t="str">
        <f t="shared" ca="1" si="16"/>
        <v/>
      </c>
      <c r="BV18" s="5" t="str">
        <f t="shared" ca="1" si="16"/>
        <v/>
      </c>
      <c r="BW18" s="5" t="str">
        <f t="shared" ca="1" si="16"/>
        <v/>
      </c>
      <c r="BX18" s="5" t="str">
        <f t="shared" ca="1" si="16"/>
        <v/>
      </c>
      <c r="BY18" s="5" t="str">
        <f t="shared" ref="BY18:CH20" ca="1" si="17">IF(AND($C18="Objetivo",BY$8&gt;=$F18,BY$8&lt;=$F18+$G18-1),2,IF(AND($C18="Hito",BY$8&gt;=$F18,BY$8&lt;=$F18+$G18-1),1,""))</f>
        <v/>
      </c>
      <c r="BZ18" s="5" t="str">
        <f t="shared" ca="1" si="17"/>
        <v/>
      </c>
      <c r="CA18" s="5" t="str">
        <f t="shared" ca="1" si="17"/>
        <v/>
      </c>
      <c r="CB18" s="5" t="str">
        <f t="shared" ca="1" si="17"/>
        <v/>
      </c>
      <c r="CC18" s="5" t="str">
        <f t="shared" ca="1" si="17"/>
        <v/>
      </c>
      <c r="CD18" s="5" t="str">
        <f t="shared" ca="1" si="17"/>
        <v/>
      </c>
      <c r="CE18" s="5" t="str">
        <f t="shared" ca="1" si="17"/>
        <v/>
      </c>
      <c r="CF18" s="5" t="str">
        <f t="shared" ca="1" si="17"/>
        <v/>
      </c>
      <c r="CG18" s="5" t="str">
        <f t="shared" ca="1" si="17"/>
        <v/>
      </c>
      <c r="CH18" s="5" t="str">
        <f t="shared" ca="1" si="17"/>
        <v/>
      </c>
      <c r="CI18" s="5" t="str">
        <f t="shared" ref="CI18:CR20" ca="1" si="18">IF(AND($C18="Objetivo",CI$8&gt;=$F18,CI$8&lt;=$F18+$G18-1),2,IF(AND($C18="Hito",CI$8&gt;=$F18,CI$8&lt;=$F18+$G18-1),1,""))</f>
        <v/>
      </c>
      <c r="CJ18" s="5" t="str">
        <f t="shared" ca="1" si="18"/>
        <v/>
      </c>
      <c r="CK18" s="5" t="str">
        <f t="shared" ca="1" si="18"/>
        <v/>
      </c>
      <c r="CL18" s="5" t="str">
        <f t="shared" ca="1" si="18"/>
        <v/>
      </c>
      <c r="CM18" s="5" t="str">
        <f t="shared" ca="1" si="18"/>
        <v/>
      </c>
      <c r="CN18" s="5" t="str">
        <f t="shared" ca="1" si="18"/>
        <v/>
      </c>
      <c r="CO18" s="5" t="str">
        <f t="shared" ca="1" si="18"/>
        <v/>
      </c>
      <c r="CP18" s="5" t="str">
        <f t="shared" ca="1" si="18"/>
        <v/>
      </c>
      <c r="CQ18" s="5" t="str">
        <f t="shared" ca="1" si="18"/>
        <v/>
      </c>
      <c r="CR18" s="5" t="str">
        <f t="shared" ca="1" si="18"/>
        <v/>
      </c>
      <c r="CS18" s="5" t="str">
        <f t="shared" ref="CS18:DB20" ca="1" si="19">IF(AND($C18="Objetivo",CS$8&gt;=$F18,CS$8&lt;=$F18+$G18-1),2,IF(AND($C18="Hito",CS$8&gt;=$F18,CS$8&lt;=$F18+$G18-1),1,""))</f>
        <v/>
      </c>
      <c r="CT18" s="5" t="str">
        <f t="shared" ca="1" si="19"/>
        <v/>
      </c>
      <c r="CU18" s="5" t="str">
        <f t="shared" ca="1" si="19"/>
        <v/>
      </c>
      <c r="CV18" s="5" t="str">
        <f t="shared" ca="1" si="19"/>
        <v/>
      </c>
      <c r="CW18" s="5" t="str">
        <f t="shared" ca="1" si="19"/>
        <v/>
      </c>
      <c r="CX18" s="5" t="str">
        <f t="shared" ca="1" si="19"/>
        <v/>
      </c>
      <c r="CY18" s="5" t="str">
        <f t="shared" ca="1" si="19"/>
        <v/>
      </c>
      <c r="CZ18" s="5" t="str">
        <f t="shared" ca="1" si="19"/>
        <v/>
      </c>
      <c r="DA18" s="5" t="str">
        <f t="shared" ca="1" si="19"/>
        <v/>
      </c>
      <c r="DB18" s="5" t="str">
        <f t="shared" ca="1" si="19"/>
        <v/>
      </c>
    </row>
    <row r="19" spans="1:106" s="1" customFormat="1" ht="15" x14ac:dyDescent="0.25">
      <c r="A19" s="3"/>
      <c r="B19" s="41" t="s">
        <v>55</v>
      </c>
      <c r="C19" s="34" t="s">
        <v>3</v>
      </c>
      <c r="D19" s="34" t="s">
        <v>56</v>
      </c>
      <c r="E19" s="53">
        <v>1</v>
      </c>
      <c r="F19" s="40">
        <v>45946</v>
      </c>
      <c r="G19" s="57">
        <v>1</v>
      </c>
      <c r="H19" s="30" t="s">
        <v>57</v>
      </c>
      <c r="I19" s="29" t="s">
        <v>50</v>
      </c>
      <c r="J19" s="7"/>
      <c r="K19" s="5" t="str">
        <f t="shared" ref="K19:T21" ca="1" si="20">IF(AND($C19="Objetivo",K$8&gt;=$F19,K$8&lt;=$F19+$G19-1),2,IF(AND($C19="Hito",K$8&gt;=$F19,K$8&lt;=$F19+$G19-1),1,""))</f>
        <v/>
      </c>
      <c r="L19" s="5" t="str">
        <f t="shared" ca="1" si="20"/>
        <v/>
      </c>
      <c r="M19" s="5" t="str">
        <f t="shared" ca="1" si="20"/>
        <v/>
      </c>
      <c r="N19" s="5" t="str">
        <f t="shared" ca="1" si="20"/>
        <v/>
      </c>
      <c r="O19" s="5" t="str">
        <f t="shared" ca="1" si="20"/>
        <v/>
      </c>
      <c r="P19" s="5" t="str">
        <f t="shared" ca="1" si="20"/>
        <v/>
      </c>
      <c r="Q19" s="5" t="str">
        <f t="shared" ca="1" si="20"/>
        <v/>
      </c>
      <c r="R19" s="5" t="str">
        <f t="shared" ca="1" si="20"/>
        <v/>
      </c>
      <c r="S19" s="5" t="str">
        <f t="shared" ca="1" si="20"/>
        <v/>
      </c>
      <c r="T19" s="5" t="str">
        <f t="shared" ca="1" si="20"/>
        <v/>
      </c>
      <c r="U19" s="5" t="str">
        <f t="shared" ref="U19:AD21" ca="1" si="21">IF(AND($C19="Objetivo",U$8&gt;=$F19,U$8&lt;=$F19+$G19-1),2,IF(AND($C19="Hito",U$8&gt;=$F19,U$8&lt;=$F19+$G19-1),1,""))</f>
        <v/>
      </c>
      <c r="V19" s="5" t="str">
        <f t="shared" ca="1" si="21"/>
        <v/>
      </c>
      <c r="W19" s="5" t="str">
        <f t="shared" ca="1" si="21"/>
        <v/>
      </c>
      <c r="X19" s="5" t="str">
        <f t="shared" ca="1" si="21"/>
        <v/>
      </c>
      <c r="Y19" s="5" t="str">
        <f t="shared" ca="1" si="21"/>
        <v/>
      </c>
      <c r="Z19" s="5" t="str">
        <f t="shared" ca="1" si="21"/>
        <v/>
      </c>
      <c r="AA19" s="5" t="str">
        <f t="shared" ca="1" si="21"/>
        <v/>
      </c>
      <c r="AB19" s="5" t="str">
        <f t="shared" ca="1" si="21"/>
        <v/>
      </c>
      <c r="AC19" s="5" t="str">
        <f t="shared" ca="1" si="21"/>
        <v/>
      </c>
      <c r="AD19" s="5" t="str">
        <f t="shared" ca="1" si="21"/>
        <v/>
      </c>
      <c r="AE19" s="5" t="str">
        <f t="shared" ref="AE19:AN21" ca="1" si="22">IF(AND($C19="Objetivo",AE$8&gt;=$F19,AE$8&lt;=$F19+$G19-1),2,IF(AND($C19="Hito",AE$8&gt;=$F19,AE$8&lt;=$F19+$G19-1),1,""))</f>
        <v/>
      </c>
      <c r="AF19" s="5" t="str">
        <f t="shared" ca="1" si="22"/>
        <v/>
      </c>
      <c r="AG19" s="5" t="str">
        <f t="shared" ca="1" si="22"/>
        <v/>
      </c>
      <c r="AH19" s="5" t="str">
        <f t="shared" ca="1" si="22"/>
        <v/>
      </c>
      <c r="AI19" s="5" t="str">
        <f t="shared" ca="1" si="22"/>
        <v/>
      </c>
      <c r="AJ19" s="5" t="str">
        <f t="shared" ca="1" si="22"/>
        <v/>
      </c>
      <c r="AK19" s="5" t="str">
        <f t="shared" ca="1" si="22"/>
        <v/>
      </c>
      <c r="AL19" s="5" t="str">
        <f t="shared" ca="1" si="22"/>
        <v/>
      </c>
      <c r="AM19" s="5" t="str">
        <f t="shared" ca="1" si="22"/>
        <v/>
      </c>
      <c r="AN19" s="5" t="str">
        <f t="shared" ca="1" si="22"/>
        <v/>
      </c>
      <c r="AO19" s="5" t="str">
        <f t="shared" ref="AO19:AX21" ca="1" si="23">IF(AND($C19="Objetivo",AO$8&gt;=$F19,AO$8&lt;=$F19+$G19-1),2,IF(AND($C19="Hito",AO$8&gt;=$F19,AO$8&lt;=$F19+$G19-1),1,""))</f>
        <v/>
      </c>
      <c r="AP19" s="5" t="str">
        <f t="shared" ca="1" si="23"/>
        <v/>
      </c>
      <c r="AQ19" s="5" t="str">
        <f t="shared" ca="1" si="23"/>
        <v/>
      </c>
      <c r="AR19" s="5" t="str">
        <f t="shared" ca="1" si="23"/>
        <v/>
      </c>
      <c r="AS19" s="5" t="str">
        <f t="shared" ca="1" si="23"/>
        <v/>
      </c>
      <c r="AT19" s="5" t="str">
        <f t="shared" ca="1" si="23"/>
        <v/>
      </c>
      <c r="AU19" s="5" t="str">
        <f t="shared" ca="1" si="23"/>
        <v/>
      </c>
      <c r="AV19" s="5" t="str">
        <f t="shared" ca="1" si="23"/>
        <v/>
      </c>
      <c r="AW19" s="5" t="str">
        <f t="shared" ca="1" si="23"/>
        <v/>
      </c>
      <c r="AX19" s="5" t="str">
        <f t="shared" ca="1" si="23"/>
        <v/>
      </c>
      <c r="AY19" s="5" t="str">
        <f t="shared" ref="AY19:BH21" ca="1" si="24">IF(AND($C19="Objetivo",AY$8&gt;=$F19,AY$8&lt;=$F19+$G19-1),2,IF(AND($C19="Hito",AY$8&gt;=$F19,AY$8&lt;=$F19+$G19-1),1,""))</f>
        <v/>
      </c>
      <c r="AZ19" s="5" t="str">
        <f t="shared" ca="1" si="24"/>
        <v/>
      </c>
      <c r="BA19" s="5" t="str">
        <f t="shared" ca="1" si="24"/>
        <v/>
      </c>
      <c r="BB19" s="5" t="str">
        <f t="shared" ca="1" si="24"/>
        <v/>
      </c>
      <c r="BC19" s="5" t="str">
        <f t="shared" ca="1" si="24"/>
        <v/>
      </c>
      <c r="BD19" s="5" t="str">
        <f t="shared" ca="1" si="24"/>
        <v/>
      </c>
      <c r="BE19" s="5" t="str">
        <f t="shared" ca="1" si="24"/>
        <v/>
      </c>
      <c r="BF19" s="5" t="str">
        <f t="shared" ca="1" si="24"/>
        <v/>
      </c>
      <c r="BG19" s="5" t="str">
        <f t="shared" ca="1" si="24"/>
        <v/>
      </c>
      <c r="BH19" s="5" t="str">
        <f t="shared" ca="1" si="24"/>
        <v/>
      </c>
      <c r="BI19" s="5" t="str">
        <f t="shared" ref="BI19:BN21" ca="1" si="25">IF(AND($C19="Objetivo",BI$8&gt;=$F19,BI$8&lt;=$F19+$G19-1),2,IF(AND($C19="Hito",BI$8&gt;=$F19,BI$8&lt;=$F19+$G19-1),1,""))</f>
        <v/>
      </c>
      <c r="BJ19" s="5" t="str">
        <f t="shared" ca="1" si="25"/>
        <v/>
      </c>
      <c r="BK19" s="5" t="str">
        <f t="shared" ca="1" si="25"/>
        <v/>
      </c>
      <c r="BL19" s="5" t="str">
        <f t="shared" ca="1" si="25"/>
        <v/>
      </c>
      <c r="BM19" s="5" t="str">
        <f t="shared" ca="1" si="25"/>
        <v/>
      </c>
      <c r="BN19" s="5" t="str">
        <f t="shared" ca="1" si="25"/>
        <v/>
      </c>
      <c r="BO19" s="5" t="str">
        <f t="shared" ca="1" si="16"/>
        <v/>
      </c>
      <c r="BP19" s="5" t="str">
        <f t="shared" ca="1" si="16"/>
        <v/>
      </c>
      <c r="BQ19" s="5" t="str">
        <f t="shared" ca="1" si="16"/>
        <v/>
      </c>
      <c r="BR19" s="5" t="str">
        <f t="shared" ca="1" si="16"/>
        <v/>
      </c>
      <c r="BS19" s="5" t="str">
        <f t="shared" ca="1" si="16"/>
        <v/>
      </c>
      <c r="BT19" s="5" t="str">
        <f t="shared" ca="1" si="16"/>
        <v/>
      </c>
      <c r="BU19" s="5" t="str">
        <f t="shared" ca="1" si="16"/>
        <v/>
      </c>
      <c r="BV19" s="5" t="str">
        <f t="shared" ca="1" si="16"/>
        <v/>
      </c>
      <c r="BW19" s="5" t="str">
        <f t="shared" ca="1" si="16"/>
        <v/>
      </c>
      <c r="BX19" s="5" t="str">
        <f t="shared" ca="1" si="16"/>
        <v/>
      </c>
      <c r="BY19" s="5" t="str">
        <f t="shared" ca="1" si="17"/>
        <v/>
      </c>
      <c r="BZ19" s="5" t="str">
        <f t="shared" ca="1" si="17"/>
        <v/>
      </c>
      <c r="CA19" s="5" t="str">
        <f t="shared" ca="1" si="17"/>
        <v/>
      </c>
      <c r="CB19" s="5" t="str">
        <f t="shared" ca="1" si="17"/>
        <v/>
      </c>
      <c r="CC19" s="5" t="str">
        <f t="shared" ca="1" si="17"/>
        <v/>
      </c>
      <c r="CD19" s="5" t="str">
        <f t="shared" ca="1" si="17"/>
        <v/>
      </c>
      <c r="CE19" s="5" t="str">
        <f t="shared" ca="1" si="17"/>
        <v/>
      </c>
      <c r="CF19" s="5" t="str">
        <f t="shared" ca="1" si="17"/>
        <v/>
      </c>
      <c r="CG19" s="5" t="str">
        <f t="shared" ca="1" si="17"/>
        <v/>
      </c>
      <c r="CH19" s="5" t="str">
        <f t="shared" ca="1" si="17"/>
        <v/>
      </c>
      <c r="CI19" s="5" t="str">
        <f t="shared" ca="1" si="18"/>
        <v/>
      </c>
      <c r="CJ19" s="5" t="str">
        <f t="shared" ca="1" si="18"/>
        <v/>
      </c>
      <c r="CK19" s="5" t="str">
        <f t="shared" ca="1" si="18"/>
        <v/>
      </c>
      <c r="CL19" s="5" t="str">
        <f t="shared" ca="1" si="18"/>
        <v/>
      </c>
      <c r="CM19" s="5" t="str">
        <f t="shared" ca="1" si="18"/>
        <v/>
      </c>
      <c r="CN19" s="5" t="str">
        <f t="shared" ca="1" si="18"/>
        <v/>
      </c>
      <c r="CO19" s="5" t="str">
        <f t="shared" ca="1" si="18"/>
        <v/>
      </c>
      <c r="CP19" s="5" t="str">
        <f t="shared" ca="1" si="18"/>
        <v/>
      </c>
      <c r="CQ19" s="5" t="str">
        <f t="shared" ca="1" si="18"/>
        <v/>
      </c>
      <c r="CR19" s="5" t="str">
        <f t="shared" ca="1" si="18"/>
        <v/>
      </c>
      <c r="CS19" s="5" t="str">
        <f t="shared" ca="1" si="19"/>
        <v/>
      </c>
      <c r="CT19" s="5" t="str">
        <f t="shared" ca="1" si="19"/>
        <v/>
      </c>
      <c r="CU19" s="5" t="str">
        <f t="shared" ca="1" si="19"/>
        <v/>
      </c>
      <c r="CV19" s="5" t="str">
        <f t="shared" ca="1" si="19"/>
        <v/>
      </c>
      <c r="CW19" s="5" t="str">
        <f t="shared" ca="1" si="19"/>
        <v/>
      </c>
      <c r="CX19" s="5" t="str">
        <f t="shared" ca="1" si="19"/>
        <v/>
      </c>
      <c r="CY19" s="5" t="str">
        <f t="shared" ca="1" si="19"/>
        <v/>
      </c>
      <c r="CZ19" s="5" t="str">
        <f t="shared" ca="1" si="19"/>
        <v/>
      </c>
      <c r="DA19" s="5" t="str">
        <f t="shared" ca="1" si="19"/>
        <v/>
      </c>
      <c r="DB19" s="5" t="str">
        <f t="shared" ca="1" si="19"/>
        <v/>
      </c>
    </row>
    <row r="20" spans="1:106" s="1" customFormat="1" ht="40.15" customHeight="1" x14ac:dyDescent="0.25">
      <c r="A20" s="3"/>
      <c r="B20" s="41"/>
      <c r="C20" s="34"/>
      <c r="D20" s="41"/>
      <c r="E20" s="50"/>
      <c r="F20" s="40"/>
      <c r="G20" s="57"/>
      <c r="H20" s="30"/>
      <c r="I20" s="30"/>
      <c r="J20" s="7"/>
      <c r="K20" s="5" t="str">
        <f t="shared" ca="1" si="20"/>
        <v/>
      </c>
      <c r="L20" s="5" t="str">
        <f t="shared" ca="1" si="20"/>
        <v/>
      </c>
      <c r="M20" s="5" t="str">
        <f t="shared" ca="1" si="20"/>
        <v/>
      </c>
      <c r="N20" s="5" t="str">
        <f t="shared" ca="1" si="20"/>
        <v/>
      </c>
      <c r="O20" s="5" t="str">
        <f t="shared" ca="1" si="20"/>
        <v/>
      </c>
      <c r="P20" s="5" t="str">
        <f t="shared" ca="1" si="20"/>
        <v/>
      </c>
      <c r="Q20" s="5" t="str">
        <f t="shared" ca="1" si="20"/>
        <v/>
      </c>
      <c r="R20" s="5" t="str">
        <f t="shared" ca="1" si="20"/>
        <v/>
      </c>
      <c r="S20" s="5" t="str">
        <f t="shared" ca="1" si="20"/>
        <v/>
      </c>
      <c r="T20" s="5" t="str">
        <f t="shared" ca="1" si="20"/>
        <v/>
      </c>
      <c r="U20" s="5" t="str">
        <f t="shared" ca="1" si="21"/>
        <v/>
      </c>
      <c r="V20" s="5" t="str">
        <f t="shared" ca="1" si="21"/>
        <v/>
      </c>
      <c r="W20" s="5" t="str">
        <f t="shared" ca="1" si="21"/>
        <v/>
      </c>
      <c r="X20" s="5" t="str">
        <f t="shared" ca="1" si="21"/>
        <v/>
      </c>
      <c r="Y20" s="5" t="str">
        <f t="shared" ca="1" si="21"/>
        <v/>
      </c>
      <c r="Z20" s="5" t="str">
        <f t="shared" ca="1" si="21"/>
        <v/>
      </c>
      <c r="AA20" s="5" t="str">
        <f t="shared" ca="1" si="21"/>
        <v/>
      </c>
      <c r="AB20" s="5" t="str">
        <f t="shared" ca="1" si="21"/>
        <v/>
      </c>
      <c r="AC20" s="5" t="str">
        <f t="shared" ca="1" si="21"/>
        <v/>
      </c>
      <c r="AD20" s="5" t="str">
        <f t="shared" ca="1" si="21"/>
        <v/>
      </c>
      <c r="AE20" s="5" t="str">
        <f t="shared" ca="1" si="22"/>
        <v/>
      </c>
      <c r="AF20" s="5" t="str">
        <f t="shared" ca="1" si="22"/>
        <v/>
      </c>
      <c r="AG20" s="5" t="str">
        <f t="shared" ca="1" si="22"/>
        <v/>
      </c>
      <c r="AH20" s="5" t="str">
        <f t="shared" ca="1" si="22"/>
        <v/>
      </c>
      <c r="AI20" s="5" t="str">
        <f t="shared" ca="1" si="22"/>
        <v/>
      </c>
      <c r="AJ20" s="5" t="str">
        <f t="shared" ca="1" si="22"/>
        <v/>
      </c>
      <c r="AK20" s="5" t="str">
        <f t="shared" ca="1" si="22"/>
        <v/>
      </c>
      <c r="AL20" s="5" t="str">
        <f t="shared" ca="1" si="22"/>
        <v/>
      </c>
      <c r="AM20" s="5" t="str">
        <f t="shared" ca="1" si="22"/>
        <v/>
      </c>
      <c r="AN20" s="5" t="str">
        <f t="shared" ca="1" si="22"/>
        <v/>
      </c>
      <c r="AO20" s="5" t="str">
        <f t="shared" ca="1" si="23"/>
        <v/>
      </c>
      <c r="AP20" s="5" t="str">
        <f t="shared" ca="1" si="23"/>
        <v/>
      </c>
      <c r="AQ20" s="5" t="str">
        <f t="shared" ca="1" si="23"/>
        <v/>
      </c>
      <c r="AR20" s="5" t="str">
        <f t="shared" ca="1" si="23"/>
        <v/>
      </c>
      <c r="AS20" s="5" t="str">
        <f t="shared" ca="1" si="23"/>
        <v/>
      </c>
      <c r="AT20" s="5" t="str">
        <f t="shared" ca="1" si="23"/>
        <v/>
      </c>
      <c r="AU20" s="5" t="str">
        <f t="shared" ca="1" si="23"/>
        <v/>
      </c>
      <c r="AV20" s="5" t="str">
        <f t="shared" ca="1" si="23"/>
        <v/>
      </c>
      <c r="AW20" s="5" t="str">
        <f t="shared" ca="1" si="23"/>
        <v/>
      </c>
      <c r="AX20" s="5" t="str">
        <f t="shared" ca="1" si="23"/>
        <v/>
      </c>
      <c r="AY20" s="5" t="str">
        <f t="shared" ca="1" si="24"/>
        <v/>
      </c>
      <c r="AZ20" s="5" t="str">
        <f t="shared" ca="1" si="24"/>
        <v/>
      </c>
      <c r="BA20" s="5" t="str">
        <f t="shared" ca="1" si="24"/>
        <v/>
      </c>
      <c r="BB20" s="5" t="str">
        <f t="shared" ca="1" si="24"/>
        <v/>
      </c>
      <c r="BC20" s="5" t="str">
        <f t="shared" ca="1" si="24"/>
        <v/>
      </c>
      <c r="BD20" s="5" t="str">
        <f t="shared" ca="1" si="24"/>
        <v/>
      </c>
      <c r="BE20" s="5" t="str">
        <f t="shared" ca="1" si="24"/>
        <v/>
      </c>
      <c r="BF20" s="5" t="str">
        <f t="shared" ca="1" si="24"/>
        <v/>
      </c>
      <c r="BG20" s="5" t="str">
        <f t="shared" ca="1" si="24"/>
        <v/>
      </c>
      <c r="BH20" s="5" t="str">
        <f t="shared" ca="1" si="24"/>
        <v/>
      </c>
      <c r="BI20" s="5" t="str">
        <f t="shared" ca="1" si="25"/>
        <v/>
      </c>
      <c r="BJ20" s="5" t="str">
        <f t="shared" ca="1" si="25"/>
        <v/>
      </c>
      <c r="BK20" s="5" t="str">
        <f t="shared" ca="1" si="25"/>
        <v/>
      </c>
      <c r="BL20" s="5" t="str">
        <f t="shared" ca="1" si="25"/>
        <v/>
      </c>
      <c r="BM20" s="5" t="str">
        <f t="shared" ca="1" si="25"/>
        <v/>
      </c>
      <c r="BN20" s="5" t="str">
        <f t="shared" ca="1" si="25"/>
        <v/>
      </c>
      <c r="BO20" s="5" t="str">
        <f t="shared" ca="1" si="16"/>
        <v/>
      </c>
      <c r="BP20" s="5" t="str">
        <f t="shared" ca="1" si="16"/>
        <v/>
      </c>
      <c r="BQ20" s="5" t="str">
        <f t="shared" ca="1" si="16"/>
        <v/>
      </c>
      <c r="BR20" s="5" t="str">
        <f t="shared" ca="1" si="16"/>
        <v/>
      </c>
      <c r="BS20" s="5" t="str">
        <f t="shared" ca="1" si="16"/>
        <v/>
      </c>
      <c r="BT20" s="5" t="str">
        <f t="shared" ca="1" si="16"/>
        <v/>
      </c>
      <c r="BU20" s="5" t="str">
        <f t="shared" ca="1" si="16"/>
        <v/>
      </c>
      <c r="BV20" s="5" t="str">
        <f t="shared" ca="1" si="16"/>
        <v/>
      </c>
      <c r="BW20" s="5" t="str">
        <f t="shared" ca="1" si="16"/>
        <v/>
      </c>
      <c r="BX20" s="5" t="str">
        <f t="shared" ca="1" si="16"/>
        <v/>
      </c>
      <c r="BY20" s="5" t="str">
        <f t="shared" ca="1" si="17"/>
        <v/>
      </c>
      <c r="BZ20" s="5" t="str">
        <f t="shared" ca="1" si="17"/>
        <v/>
      </c>
      <c r="CA20" s="5" t="str">
        <f t="shared" ca="1" si="17"/>
        <v/>
      </c>
      <c r="CB20" s="5" t="str">
        <f t="shared" ca="1" si="17"/>
        <v/>
      </c>
      <c r="CC20" s="5" t="str">
        <f t="shared" ca="1" si="17"/>
        <v/>
      </c>
      <c r="CD20" s="5" t="str">
        <f t="shared" ca="1" si="17"/>
        <v/>
      </c>
      <c r="CE20" s="5" t="str">
        <f t="shared" ca="1" si="17"/>
        <v/>
      </c>
      <c r="CF20" s="5" t="str">
        <f t="shared" ca="1" si="17"/>
        <v/>
      </c>
      <c r="CG20" s="5" t="str">
        <f t="shared" ca="1" si="17"/>
        <v/>
      </c>
      <c r="CH20" s="5" t="str">
        <f t="shared" ca="1" si="17"/>
        <v/>
      </c>
      <c r="CI20" s="5" t="str">
        <f t="shared" ca="1" si="18"/>
        <v/>
      </c>
      <c r="CJ20" s="5" t="str">
        <f t="shared" ca="1" si="18"/>
        <v/>
      </c>
      <c r="CK20" s="5" t="str">
        <f t="shared" ca="1" si="18"/>
        <v/>
      </c>
      <c r="CL20" s="5" t="str">
        <f t="shared" ca="1" si="18"/>
        <v/>
      </c>
      <c r="CM20" s="5" t="str">
        <f t="shared" ca="1" si="18"/>
        <v/>
      </c>
      <c r="CN20" s="5" t="str">
        <f t="shared" ca="1" si="18"/>
        <v/>
      </c>
      <c r="CO20" s="5" t="str">
        <f t="shared" ca="1" si="18"/>
        <v/>
      </c>
      <c r="CP20" s="5" t="str">
        <f t="shared" ca="1" si="18"/>
        <v/>
      </c>
      <c r="CQ20" s="5" t="str">
        <f t="shared" ca="1" si="18"/>
        <v/>
      </c>
      <c r="CR20" s="5" t="str">
        <f t="shared" ca="1" si="18"/>
        <v/>
      </c>
      <c r="CS20" s="5" t="str">
        <f t="shared" ca="1" si="19"/>
        <v/>
      </c>
      <c r="CT20" s="5" t="str">
        <f t="shared" ca="1" si="19"/>
        <v/>
      </c>
      <c r="CU20" s="5" t="str">
        <f t="shared" ca="1" si="19"/>
        <v/>
      </c>
      <c r="CV20" s="5" t="str">
        <f t="shared" ca="1" si="19"/>
        <v/>
      </c>
      <c r="CW20" s="5" t="str">
        <f t="shared" ca="1" si="19"/>
        <v/>
      </c>
      <c r="CX20" s="5" t="str">
        <f t="shared" ca="1" si="19"/>
        <v/>
      </c>
      <c r="CY20" s="5" t="str">
        <f t="shared" ca="1" si="19"/>
        <v/>
      </c>
      <c r="CZ20" s="5" t="str">
        <f t="shared" ca="1" si="19"/>
        <v/>
      </c>
      <c r="DA20" s="5" t="str">
        <f t="shared" ca="1" si="19"/>
        <v/>
      </c>
      <c r="DB20" s="5" t="str">
        <f t="shared" ca="1" si="19"/>
        <v/>
      </c>
    </row>
    <row r="21" spans="1:106" s="1" customFormat="1" ht="40.15" customHeight="1" x14ac:dyDescent="0.25">
      <c r="A21" s="3"/>
      <c r="B21" s="41"/>
      <c r="C21" s="34"/>
      <c r="D21" s="34"/>
      <c r="E21" s="50"/>
      <c r="F21" s="40"/>
      <c r="G21" s="57"/>
      <c r="H21" s="29"/>
      <c r="I21" s="29"/>
      <c r="J21" s="7"/>
      <c r="K21" s="5" t="str">
        <f t="shared" ca="1" si="20"/>
        <v/>
      </c>
      <c r="L21" s="5" t="str">
        <f t="shared" ca="1" si="20"/>
        <v/>
      </c>
      <c r="M21" s="5" t="str">
        <f t="shared" ca="1" si="20"/>
        <v/>
      </c>
      <c r="N21" s="5" t="str">
        <f t="shared" ca="1" si="20"/>
        <v/>
      </c>
      <c r="O21" s="5" t="str">
        <f t="shared" ca="1" si="20"/>
        <v/>
      </c>
      <c r="P21" s="5" t="str">
        <f t="shared" ca="1" si="20"/>
        <v/>
      </c>
      <c r="Q21" s="5" t="str">
        <f t="shared" ca="1" si="20"/>
        <v/>
      </c>
      <c r="R21" s="5" t="str">
        <f t="shared" ca="1" si="20"/>
        <v/>
      </c>
      <c r="S21" s="5" t="str">
        <f t="shared" ca="1" si="20"/>
        <v/>
      </c>
      <c r="T21" s="5" t="str">
        <f t="shared" ca="1" si="20"/>
        <v/>
      </c>
      <c r="U21" s="5" t="str">
        <f t="shared" ca="1" si="21"/>
        <v/>
      </c>
      <c r="V21" s="5" t="str">
        <f t="shared" ca="1" si="21"/>
        <v/>
      </c>
      <c r="W21" s="5" t="str">
        <f t="shared" ca="1" si="21"/>
        <v/>
      </c>
      <c r="X21" s="5" t="str">
        <f t="shared" ca="1" si="21"/>
        <v/>
      </c>
      <c r="Y21" s="5" t="str">
        <f t="shared" ca="1" si="21"/>
        <v/>
      </c>
      <c r="Z21" s="5" t="str">
        <f t="shared" ca="1" si="21"/>
        <v/>
      </c>
      <c r="AA21" s="5" t="str">
        <f t="shared" ca="1" si="21"/>
        <v/>
      </c>
      <c r="AB21" s="5" t="str">
        <f t="shared" ca="1" si="21"/>
        <v/>
      </c>
      <c r="AC21" s="5" t="str">
        <f t="shared" ca="1" si="21"/>
        <v/>
      </c>
      <c r="AD21" s="5" t="str">
        <f t="shared" ca="1" si="21"/>
        <v/>
      </c>
      <c r="AE21" s="5" t="str">
        <f t="shared" ca="1" si="22"/>
        <v/>
      </c>
      <c r="AF21" s="5" t="str">
        <f t="shared" ca="1" si="22"/>
        <v/>
      </c>
      <c r="AG21" s="5" t="str">
        <f t="shared" ca="1" si="22"/>
        <v/>
      </c>
      <c r="AH21" s="5" t="str">
        <f t="shared" ca="1" si="22"/>
        <v/>
      </c>
      <c r="AI21" s="5" t="str">
        <f t="shared" ca="1" si="22"/>
        <v/>
      </c>
      <c r="AJ21" s="5" t="str">
        <f t="shared" ca="1" si="22"/>
        <v/>
      </c>
      <c r="AK21" s="5" t="str">
        <f t="shared" ca="1" si="22"/>
        <v/>
      </c>
      <c r="AL21" s="5" t="str">
        <f t="shared" ca="1" si="22"/>
        <v/>
      </c>
      <c r="AM21" s="5" t="str">
        <f t="shared" ca="1" si="22"/>
        <v/>
      </c>
      <c r="AN21" s="5" t="str">
        <f t="shared" ca="1" si="22"/>
        <v/>
      </c>
      <c r="AO21" s="5" t="str">
        <f t="shared" ca="1" si="23"/>
        <v/>
      </c>
      <c r="AP21" s="5" t="str">
        <f t="shared" ca="1" si="23"/>
        <v/>
      </c>
      <c r="AQ21" s="5" t="str">
        <f t="shared" ca="1" si="23"/>
        <v/>
      </c>
      <c r="AR21" s="5" t="str">
        <f t="shared" ca="1" si="23"/>
        <v/>
      </c>
      <c r="AS21" s="5" t="str">
        <f t="shared" ca="1" si="23"/>
        <v/>
      </c>
      <c r="AT21" s="5" t="str">
        <f t="shared" ca="1" si="23"/>
        <v/>
      </c>
      <c r="AU21" s="5" t="str">
        <f t="shared" ca="1" si="23"/>
        <v/>
      </c>
      <c r="AV21" s="5" t="str">
        <f t="shared" ca="1" si="23"/>
        <v/>
      </c>
      <c r="AW21" s="5" t="str">
        <f t="shared" ca="1" si="23"/>
        <v/>
      </c>
      <c r="AX21" s="5" t="str">
        <f t="shared" ca="1" si="23"/>
        <v/>
      </c>
      <c r="AY21" s="5" t="str">
        <f t="shared" ca="1" si="24"/>
        <v/>
      </c>
      <c r="AZ21" s="5" t="str">
        <f t="shared" ca="1" si="24"/>
        <v/>
      </c>
      <c r="BA21" s="5" t="str">
        <f t="shared" ca="1" si="24"/>
        <v/>
      </c>
      <c r="BB21" s="5" t="str">
        <f t="shared" ca="1" si="24"/>
        <v/>
      </c>
      <c r="BC21" s="5" t="str">
        <f t="shared" ca="1" si="24"/>
        <v/>
      </c>
      <c r="BD21" s="5" t="str">
        <f t="shared" ca="1" si="24"/>
        <v/>
      </c>
      <c r="BE21" s="5" t="str">
        <f t="shared" ca="1" si="24"/>
        <v/>
      </c>
      <c r="BF21" s="5" t="str">
        <f t="shared" ca="1" si="24"/>
        <v/>
      </c>
      <c r="BG21" s="5" t="str">
        <f t="shared" ca="1" si="24"/>
        <v/>
      </c>
      <c r="BH21" s="5" t="str">
        <f t="shared" ca="1" si="24"/>
        <v/>
      </c>
      <c r="BI21" s="5" t="str">
        <f t="shared" ca="1" si="25"/>
        <v/>
      </c>
      <c r="BJ21" s="5" t="str">
        <f t="shared" ca="1" si="25"/>
        <v/>
      </c>
      <c r="BK21" s="5" t="str">
        <f t="shared" ca="1" si="25"/>
        <v/>
      </c>
      <c r="BL21" s="5" t="str">
        <f t="shared" ca="1" si="25"/>
        <v/>
      </c>
      <c r="BM21" s="5" t="str">
        <f t="shared" ca="1" si="25"/>
        <v/>
      </c>
      <c r="BN21" s="5" t="str">
        <f t="shared" ca="1" si="25"/>
        <v/>
      </c>
      <c r="BO21" s="5" t="str">
        <f t="shared" ref="BO21:CT28" ca="1" si="26">IF(AND($C21="Objetivo",BO$8&gt;=$F21,BO$8&lt;=$F21+$G21-1),2,IF(AND($C21="Hito",BO$8&gt;=$F21,BO$8&lt;=$F21+$G21-1),1,""))</f>
        <v/>
      </c>
      <c r="BP21" s="5" t="str">
        <f t="shared" ca="1" si="26"/>
        <v/>
      </c>
      <c r="BQ21" s="5" t="str">
        <f t="shared" ca="1" si="26"/>
        <v/>
      </c>
      <c r="BR21" s="5" t="str">
        <f t="shared" ca="1" si="26"/>
        <v/>
      </c>
      <c r="BS21" s="5" t="str">
        <f t="shared" ca="1" si="26"/>
        <v/>
      </c>
      <c r="BT21" s="5" t="str">
        <f t="shared" ca="1" si="26"/>
        <v/>
      </c>
      <c r="BU21" s="5" t="str">
        <f t="shared" ca="1" si="26"/>
        <v/>
      </c>
      <c r="BV21" s="5" t="str">
        <f t="shared" ca="1" si="26"/>
        <v/>
      </c>
      <c r="BW21" s="5" t="str">
        <f t="shared" ca="1" si="26"/>
        <v/>
      </c>
      <c r="BX21" s="5" t="str">
        <f t="shared" ca="1" si="26"/>
        <v/>
      </c>
      <c r="BY21" s="5" t="str">
        <f t="shared" ca="1" si="26"/>
        <v/>
      </c>
      <c r="BZ21" s="5" t="str">
        <f t="shared" ca="1" si="26"/>
        <v/>
      </c>
      <c r="CA21" s="5" t="str">
        <f t="shared" ca="1" si="26"/>
        <v/>
      </c>
      <c r="CB21" s="5" t="str">
        <f t="shared" ca="1" si="26"/>
        <v/>
      </c>
      <c r="CC21" s="5" t="str">
        <f t="shared" ca="1" si="26"/>
        <v/>
      </c>
      <c r="CD21" s="5" t="str">
        <f t="shared" ca="1" si="26"/>
        <v/>
      </c>
      <c r="CE21" s="5" t="str">
        <f t="shared" ca="1" si="26"/>
        <v/>
      </c>
      <c r="CF21" s="5" t="str">
        <f t="shared" ca="1" si="26"/>
        <v/>
      </c>
      <c r="CG21" s="5" t="str">
        <f t="shared" ca="1" si="26"/>
        <v/>
      </c>
      <c r="CH21" s="5" t="str">
        <f t="shared" ca="1" si="26"/>
        <v/>
      </c>
      <c r="CI21" s="5" t="str">
        <f t="shared" ca="1" si="26"/>
        <v/>
      </c>
      <c r="CJ21" s="5" t="str">
        <f t="shared" ca="1" si="26"/>
        <v/>
      </c>
      <c r="CK21" s="5" t="str">
        <f t="shared" ca="1" si="26"/>
        <v/>
      </c>
      <c r="CL21" s="5" t="str">
        <f t="shared" ca="1" si="26"/>
        <v/>
      </c>
      <c r="CM21" s="5" t="str">
        <f t="shared" ca="1" si="26"/>
        <v/>
      </c>
      <c r="CN21" s="5" t="str">
        <f t="shared" ca="1" si="26"/>
        <v/>
      </c>
      <c r="CO21" s="5" t="str">
        <f t="shared" ca="1" si="26"/>
        <v/>
      </c>
      <c r="CP21" s="5" t="str">
        <f t="shared" ca="1" si="26"/>
        <v/>
      </c>
      <c r="CQ21" s="5" t="str">
        <f t="shared" ca="1" si="26"/>
        <v/>
      </c>
      <c r="CR21" s="5" t="str">
        <f t="shared" ca="1" si="26"/>
        <v/>
      </c>
      <c r="CS21" s="5" t="str">
        <f t="shared" ca="1" si="26"/>
        <v/>
      </c>
      <c r="CT21" s="5" t="str">
        <f t="shared" ca="1" si="26"/>
        <v/>
      </c>
      <c r="CU21" s="5" t="str">
        <f t="shared" ca="1" si="10"/>
        <v/>
      </c>
      <c r="CV21" s="5" t="str">
        <f t="shared" ca="1" si="10"/>
        <v/>
      </c>
      <c r="CW21" s="5" t="str">
        <f t="shared" ca="1" si="10"/>
        <v/>
      </c>
      <c r="CX21" s="5" t="str">
        <f t="shared" ca="1" si="10"/>
        <v/>
      </c>
      <c r="CY21" s="5" t="str">
        <f t="shared" ca="1" si="10"/>
        <v/>
      </c>
      <c r="CZ21" s="5" t="str">
        <f t="shared" ca="1" si="10"/>
        <v/>
      </c>
      <c r="DA21" s="5" t="str">
        <f t="shared" ca="1" si="10"/>
        <v/>
      </c>
      <c r="DB21" s="5" t="str">
        <f t="shared" ca="1" si="10"/>
        <v/>
      </c>
    </row>
    <row r="22" spans="1:106" s="1" customFormat="1" ht="40.15" customHeight="1" x14ac:dyDescent="0.25">
      <c r="A22" s="3"/>
      <c r="B22" s="41"/>
      <c r="C22" s="34"/>
      <c r="D22" s="34"/>
      <c r="E22" s="50"/>
      <c r="F22" s="40"/>
      <c r="G22" s="57"/>
      <c r="H22" s="29"/>
      <c r="I22" s="29"/>
      <c r="J22" s="7"/>
      <c r="K22" s="5"/>
      <c r="L22" s="5"/>
      <c r="M22" s="5"/>
      <c r="N22" s="5"/>
      <c r="O22" s="5"/>
      <c r="P22" s="5"/>
      <c r="Q22" s="5" t="str">
        <f ca="1">IF(AND($C22="Objetivo",Q$8&gt;=$F22,Q$8&lt;=$F22+$G22-1),2,IF(AND($C22="Hito",Q$8&gt;=$F22,Q$8&lt;=$F22+$G22-1),1,""))</f>
        <v/>
      </c>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t="str">
        <f t="shared" ca="1" si="26"/>
        <v/>
      </c>
      <c r="BP22" s="5" t="str">
        <f t="shared" ca="1" si="26"/>
        <v/>
      </c>
      <c r="BQ22" s="5" t="str">
        <f t="shared" ca="1" si="26"/>
        <v/>
      </c>
      <c r="BR22" s="5" t="str">
        <f t="shared" ca="1" si="26"/>
        <v/>
      </c>
      <c r="BS22" s="5" t="str">
        <f t="shared" ca="1" si="26"/>
        <v/>
      </c>
      <c r="BT22" s="5" t="str">
        <f t="shared" ca="1" si="26"/>
        <v/>
      </c>
      <c r="BU22" s="5" t="str">
        <f t="shared" ca="1" si="26"/>
        <v/>
      </c>
      <c r="BV22" s="5" t="str">
        <f t="shared" ca="1" si="26"/>
        <v/>
      </c>
      <c r="BW22" s="5" t="str">
        <f t="shared" ca="1" si="26"/>
        <v/>
      </c>
      <c r="BX22" s="5" t="str">
        <f t="shared" ca="1" si="26"/>
        <v/>
      </c>
      <c r="BY22" s="5" t="str">
        <f t="shared" ca="1" si="26"/>
        <v/>
      </c>
      <c r="BZ22" s="5" t="str">
        <f t="shared" ca="1" si="26"/>
        <v/>
      </c>
      <c r="CA22" s="5" t="str">
        <f t="shared" ca="1" si="26"/>
        <v/>
      </c>
      <c r="CB22" s="5" t="str">
        <f t="shared" ca="1" si="26"/>
        <v/>
      </c>
      <c r="CC22" s="5" t="str">
        <f t="shared" ca="1" si="26"/>
        <v/>
      </c>
      <c r="CD22" s="5" t="str">
        <f t="shared" ca="1" si="26"/>
        <v/>
      </c>
      <c r="CE22" s="5" t="str">
        <f t="shared" ca="1" si="26"/>
        <v/>
      </c>
      <c r="CF22" s="5" t="str">
        <f t="shared" ca="1" si="26"/>
        <v/>
      </c>
      <c r="CG22" s="5" t="str">
        <f t="shared" ca="1" si="26"/>
        <v/>
      </c>
      <c r="CH22" s="5" t="str">
        <f t="shared" ca="1" si="26"/>
        <v/>
      </c>
      <c r="CI22" s="5" t="str">
        <f t="shared" ca="1" si="26"/>
        <v/>
      </c>
      <c r="CJ22" s="5" t="str">
        <f t="shared" ca="1" si="26"/>
        <v/>
      </c>
      <c r="CK22" s="5" t="str">
        <f t="shared" ca="1" si="26"/>
        <v/>
      </c>
      <c r="CL22" s="5" t="str">
        <f t="shared" ca="1" si="26"/>
        <v/>
      </c>
      <c r="CM22" s="5" t="str">
        <f t="shared" ca="1" si="26"/>
        <v/>
      </c>
      <c r="CN22" s="5" t="str">
        <f t="shared" ca="1" si="26"/>
        <v/>
      </c>
      <c r="CO22" s="5" t="str">
        <f t="shared" ca="1" si="26"/>
        <v/>
      </c>
      <c r="CP22" s="5" t="str">
        <f t="shared" ca="1" si="26"/>
        <v/>
      </c>
      <c r="CQ22" s="5" t="str">
        <f t="shared" ca="1" si="26"/>
        <v/>
      </c>
      <c r="CR22" s="5" t="str">
        <f t="shared" ca="1" si="26"/>
        <v/>
      </c>
      <c r="CS22" s="5" t="str">
        <f t="shared" ca="1" si="26"/>
        <v/>
      </c>
      <c r="CT22" s="5" t="str">
        <f t="shared" ca="1" si="26"/>
        <v/>
      </c>
      <c r="CU22" s="5" t="str">
        <f t="shared" ca="1" si="10"/>
        <v/>
      </c>
      <c r="CV22" s="5" t="str">
        <f t="shared" ca="1" si="10"/>
        <v/>
      </c>
      <c r="CW22" s="5" t="str">
        <f t="shared" ca="1" si="10"/>
        <v/>
      </c>
      <c r="CX22" s="5" t="str">
        <f t="shared" ca="1" si="10"/>
        <v/>
      </c>
      <c r="CY22" s="5" t="str">
        <f t="shared" ca="1" si="10"/>
        <v/>
      </c>
      <c r="CZ22" s="5" t="str">
        <f t="shared" ca="1" si="10"/>
        <v/>
      </c>
      <c r="DA22" s="5" t="str">
        <f t="shared" ca="1" si="10"/>
        <v/>
      </c>
      <c r="DB22" s="5" t="str">
        <f t="shared" ca="1" si="10"/>
        <v/>
      </c>
    </row>
    <row r="23" spans="1:106" s="1" customFormat="1" ht="40.15" customHeight="1" x14ac:dyDescent="0.25">
      <c r="A23" s="3"/>
      <c r="B23" s="41"/>
      <c r="C23" s="34"/>
      <c r="D23" s="34"/>
      <c r="E23" s="50"/>
      <c r="F23" s="40"/>
      <c r="G23" s="57"/>
      <c r="H23" s="29"/>
      <c r="I23" s="29"/>
      <c r="J23" s="7"/>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t="str">
        <f t="shared" ca="1" si="26"/>
        <v/>
      </c>
      <c r="BP23" s="5" t="str">
        <f t="shared" ca="1" si="26"/>
        <v/>
      </c>
      <c r="BQ23" s="5" t="str">
        <f t="shared" ca="1" si="26"/>
        <v/>
      </c>
      <c r="BR23" s="5" t="str">
        <f t="shared" ca="1" si="26"/>
        <v/>
      </c>
      <c r="BS23" s="5" t="str">
        <f t="shared" ca="1" si="26"/>
        <v/>
      </c>
      <c r="BT23" s="5" t="str">
        <f t="shared" ca="1" si="26"/>
        <v/>
      </c>
      <c r="BU23" s="5" t="str">
        <f t="shared" ca="1" si="26"/>
        <v/>
      </c>
      <c r="BV23" s="5" t="str">
        <f t="shared" ca="1" si="26"/>
        <v/>
      </c>
      <c r="BW23" s="5" t="str">
        <f t="shared" ca="1" si="26"/>
        <v/>
      </c>
      <c r="BX23" s="5" t="str">
        <f t="shared" ca="1" si="26"/>
        <v/>
      </c>
      <c r="BY23" s="5" t="str">
        <f t="shared" ca="1" si="26"/>
        <v/>
      </c>
      <c r="BZ23" s="5" t="str">
        <f t="shared" ca="1" si="26"/>
        <v/>
      </c>
      <c r="CA23" s="5" t="str">
        <f t="shared" ca="1" si="26"/>
        <v/>
      </c>
      <c r="CB23" s="5" t="str">
        <f t="shared" ca="1" si="26"/>
        <v/>
      </c>
      <c r="CC23" s="5" t="str">
        <f t="shared" ca="1" si="26"/>
        <v/>
      </c>
      <c r="CD23" s="5" t="str">
        <f t="shared" ca="1" si="26"/>
        <v/>
      </c>
      <c r="CE23" s="5" t="str">
        <f t="shared" ca="1" si="26"/>
        <v/>
      </c>
      <c r="CF23" s="5" t="str">
        <f t="shared" ca="1" si="26"/>
        <v/>
      </c>
      <c r="CG23" s="5" t="str">
        <f t="shared" ca="1" si="26"/>
        <v/>
      </c>
      <c r="CH23" s="5" t="str">
        <f t="shared" ca="1" si="26"/>
        <v/>
      </c>
      <c r="CI23" s="5" t="str">
        <f t="shared" ca="1" si="26"/>
        <v/>
      </c>
      <c r="CJ23" s="5" t="str">
        <f t="shared" ca="1" si="26"/>
        <v/>
      </c>
      <c r="CK23" s="5" t="str">
        <f t="shared" ca="1" si="26"/>
        <v/>
      </c>
      <c r="CL23" s="5" t="str">
        <f t="shared" ca="1" si="26"/>
        <v/>
      </c>
      <c r="CM23" s="5" t="str">
        <f t="shared" ca="1" si="26"/>
        <v/>
      </c>
      <c r="CN23" s="5" t="str">
        <f t="shared" ca="1" si="26"/>
        <v/>
      </c>
      <c r="CO23" s="5" t="str">
        <f t="shared" ca="1" si="26"/>
        <v/>
      </c>
      <c r="CP23" s="5" t="str">
        <f t="shared" ca="1" si="26"/>
        <v/>
      </c>
      <c r="CQ23" s="5" t="str">
        <f t="shared" ca="1" si="26"/>
        <v/>
      </c>
      <c r="CR23" s="5" t="str">
        <f t="shared" ca="1" si="26"/>
        <v/>
      </c>
      <c r="CS23" s="5" t="str">
        <f t="shared" ca="1" si="26"/>
        <v/>
      </c>
      <c r="CT23" s="5" t="str">
        <f t="shared" ca="1" si="26"/>
        <v/>
      </c>
      <c r="CU23" s="5" t="str">
        <f t="shared" ca="1" si="10"/>
        <v/>
      </c>
      <c r="CV23" s="5" t="str">
        <f t="shared" ca="1" si="10"/>
        <v/>
      </c>
      <c r="CW23" s="5" t="str">
        <f t="shared" ca="1" si="10"/>
        <v/>
      </c>
      <c r="CX23" s="5" t="str">
        <f t="shared" ca="1" si="10"/>
        <v/>
      </c>
      <c r="CY23" s="5" t="str">
        <f t="shared" ca="1" si="10"/>
        <v/>
      </c>
      <c r="CZ23" s="5" t="str">
        <f t="shared" ca="1" si="10"/>
        <v/>
      </c>
      <c r="DA23" s="5" t="str">
        <f t="shared" ca="1" si="10"/>
        <v/>
      </c>
      <c r="DB23" s="5" t="str">
        <f t="shared" ca="1" si="10"/>
        <v/>
      </c>
    </row>
    <row r="24" spans="1:106" s="1" customFormat="1" ht="40.15" customHeight="1" x14ac:dyDescent="0.25">
      <c r="A24" s="3"/>
      <c r="B24" s="41"/>
      <c r="C24" s="34"/>
      <c r="D24" s="34"/>
      <c r="E24" s="50"/>
      <c r="F24" s="40"/>
      <c r="G24" s="57"/>
      <c r="H24" s="29"/>
      <c r="I24" s="29"/>
      <c r="J24" s="7"/>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t="str">
        <f t="shared" ca="1" si="26"/>
        <v/>
      </c>
      <c r="BP24" s="5" t="str">
        <f t="shared" ca="1" si="26"/>
        <v/>
      </c>
      <c r="BQ24" s="5" t="str">
        <f t="shared" ca="1" si="26"/>
        <v/>
      </c>
      <c r="BR24" s="5" t="str">
        <f t="shared" ca="1" si="26"/>
        <v/>
      </c>
      <c r="BS24" s="5" t="str">
        <f t="shared" ca="1" si="26"/>
        <v/>
      </c>
      <c r="BT24" s="5" t="str">
        <f t="shared" ca="1" si="26"/>
        <v/>
      </c>
      <c r="BU24" s="5" t="str">
        <f t="shared" ca="1" si="26"/>
        <v/>
      </c>
      <c r="BV24" s="5" t="str">
        <f t="shared" ca="1" si="26"/>
        <v/>
      </c>
      <c r="BW24" s="5" t="str">
        <f t="shared" ca="1" si="26"/>
        <v/>
      </c>
      <c r="BX24" s="5" t="str">
        <f t="shared" ca="1" si="26"/>
        <v/>
      </c>
      <c r="BY24" s="5" t="str">
        <f t="shared" ca="1" si="26"/>
        <v/>
      </c>
      <c r="BZ24" s="5" t="str">
        <f t="shared" ca="1" si="26"/>
        <v/>
      </c>
      <c r="CA24" s="5" t="str">
        <f t="shared" ca="1" si="26"/>
        <v/>
      </c>
      <c r="CB24" s="5" t="str">
        <f t="shared" ca="1" si="26"/>
        <v/>
      </c>
      <c r="CC24" s="5" t="str">
        <f t="shared" ca="1" si="26"/>
        <v/>
      </c>
      <c r="CD24" s="5" t="str">
        <f t="shared" ca="1" si="26"/>
        <v/>
      </c>
      <c r="CE24" s="5" t="str">
        <f t="shared" ca="1" si="26"/>
        <v/>
      </c>
      <c r="CF24" s="5" t="str">
        <f t="shared" ca="1" si="26"/>
        <v/>
      </c>
      <c r="CG24" s="5" t="str">
        <f t="shared" ca="1" si="26"/>
        <v/>
      </c>
      <c r="CH24" s="5" t="str">
        <f t="shared" ca="1" si="26"/>
        <v/>
      </c>
      <c r="CI24" s="5" t="str">
        <f t="shared" ca="1" si="26"/>
        <v/>
      </c>
      <c r="CJ24" s="5" t="str">
        <f t="shared" ca="1" si="26"/>
        <v/>
      </c>
      <c r="CK24" s="5" t="str">
        <f t="shared" ca="1" si="26"/>
        <v/>
      </c>
      <c r="CL24" s="5" t="str">
        <f t="shared" ca="1" si="26"/>
        <v/>
      </c>
      <c r="CM24" s="5" t="str">
        <f t="shared" ca="1" si="26"/>
        <v/>
      </c>
      <c r="CN24" s="5" t="str">
        <f t="shared" ca="1" si="26"/>
        <v/>
      </c>
      <c r="CO24" s="5" t="str">
        <f t="shared" ca="1" si="26"/>
        <v/>
      </c>
      <c r="CP24" s="5" t="str">
        <f t="shared" ca="1" si="26"/>
        <v/>
      </c>
      <c r="CQ24" s="5" t="str">
        <f t="shared" ca="1" si="26"/>
        <v/>
      </c>
      <c r="CR24" s="5" t="str">
        <f t="shared" ca="1" si="26"/>
        <v/>
      </c>
      <c r="CS24" s="5" t="str">
        <f t="shared" ca="1" si="26"/>
        <v/>
      </c>
      <c r="CT24" s="5" t="str">
        <f t="shared" ca="1" si="26"/>
        <v/>
      </c>
      <c r="CU24" s="5" t="str">
        <f t="shared" ca="1" si="10"/>
        <v/>
      </c>
      <c r="CV24" s="5" t="str">
        <f t="shared" ca="1" si="10"/>
        <v/>
      </c>
      <c r="CW24" s="5" t="str">
        <f t="shared" ca="1" si="10"/>
        <v/>
      </c>
      <c r="CX24" s="5" t="str">
        <f t="shared" ca="1" si="10"/>
        <v/>
      </c>
      <c r="CY24" s="5" t="str">
        <f t="shared" ca="1" si="10"/>
        <v/>
      </c>
      <c r="CZ24" s="5" t="str">
        <f t="shared" ca="1" si="10"/>
        <v/>
      </c>
      <c r="DA24" s="5" t="str">
        <f t="shared" ca="1" si="10"/>
        <v/>
      </c>
      <c r="DB24" s="5" t="str">
        <f t="shared" ca="1" si="10"/>
        <v/>
      </c>
    </row>
    <row r="25" spans="1:106" s="1" customFormat="1" ht="40.15" customHeight="1" x14ac:dyDescent="0.25">
      <c r="A25" s="3"/>
      <c r="B25" s="41"/>
      <c r="C25" s="34"/>
      <c r="D25" s="34"/>
      <c r="E25" s="50"/>
      <c r="F25" s="40"/>
      <c r="G25" s="57"/>
      <c r="H25" s="29"/>
      <c r="I25" s="29"/>
      <c r="J25" s="7"/>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t="str">
        <f t="shared" ca="1" si="26"/>
        <v/>
      </c>
      <c r="BP25" s="5" t="str">
        <f t="shared" ca="1" si="26"/>
        <v/>
      </c>
      <c r="BQ25" s="5" t="str">
        <f t="shared" ca="1" si="26"/>
        <v/>
      </c>
      <c r="BR25" s="5" t="str">
        <f t="shared" ca="1" si="26"/>
        <v/>
      </c>
      <c r="BS25" s="5" t="str">
        <f t="shared" ca="1" si="26"/>
        <v/>
      </c>
      <c r="BT25" s="5" t="str">
        <f t="shared" ca="1" si="26"/>
        <v/>
      </c>
      <c r="BU25" s="5" t="str">
        <f t="shared" ca="1" si="26"/>
        <v/>
      </c>
      <c r="BV25" s="5" t="str">
        <f t="shared" ca="1" si="26"/>
        <v/>
      </c>
      <c r="BW25" s="5" t="str">
        <f t="shared" ca="1" si="26"/>
        <v/>
      </c>
      <c r="BX25" s="5" t="str">
        <f t="shared" ca="1" si="26"/>
        <v/>
      </c>
      <c r="BY25" s="5" t="str">
        <f t="shared" ca="1" si="26"/>
        <v/>
      </c>
      <c r="BZ25" s="5" t="str">
        <f t="shared" ca="1" si="26"/>
        <v/>
      </c>
      <c r="CA25" s="5" t="str">
        <f t="shared" ca="1" si="26"/>
        <v/>
      </c>
      <c r="CB25" s="5" t="str">
        <f t="shared" ca="1" si="26"/>
        <v/>
      </c>
      <c r="CC25" s="5" t="str">
        <f t="shared" ca="1" si="26"/>
        <v/>
      </c>
      <c r="CD25" s="5" t="str">
        <f t="shared" ca="1" si="26"/>
        <v/>
      </c>
      <c r="CE25" s="5" t="str">
        <f t="shared" ca="1" si="26"/>
        <v/>
      </c>
      <c r="CF25" s="5" t="str">
        <f t="shared" ca="1" si="26"/>
        <v/>
      </c>
      <c r="CG25" s="5" t="str">
        <f t="shared" ca="1" si="26"/>
        <v/>
      </c>
      <c r="CH25" s="5" t="str">
        <f t="shared" ca="1" si="26"/>
        <v/>
      </c>
      <c r="CI25" s="5" t="str">
        <f t="shared" ca="1" si="26"/>
        <v/>
      </c>
      <c r="CJ25" s="5" t="str">
        <f t="shared" ca="1" si="26"/>
        <v/>
      </c>
      <c r="CK25" s="5" t="str">
        <f t="shared" ca="1" si="26"/>
        <v/>
      </c>
      <c r="CL25" s="5" t="str">
        <f t="shared" ca="1" si="26"/>
        <v/>
      </c>
      <c r="CM25" s="5" t="str">
        <f t="shared" ca="1" si="26"/>
        <v/>
      </c>
      <c r="CN25" s="5" t="str">
        <f t="shared" ca="1" si="26"/>
        <v/>
      </c>
      <c r="CO25" s="5" t="str">
        <f t="shared" ca="1" si="26"/>
        <v/>
      </c>
      <c r="CP25" s="5" t="str">
        <f t="shared" ca="1" si="26"/>
        <v/>
      </c>
      <c r="CQ25" s="5" t="str">
        <f t="shared" ca="1" si="26"/>
        <v/>
      </c>
      <c r="CR25" s="5" t="str">
        <f t="shared" ca="1" si="26"/>
        <v/>
      </c>
      <c r="CS25" s="5" t="str">
        <f t="shared" ca="1" si="26"/>
        <v/>
      </c>
      <c r="CT25" s="5" t="str">
        <f t="shared" ca="1" si="26"/>
        <v/>
      </c>
      <c r="CU25" s="5" t="str">
        <f t="shared" ca="1" si="10"/>
        <v/>
      </c>
      <c r="CV25" s="5" t="str">
        <f t="shared" ca="1" si="10"/>
        <v/>
      </c>
      <c r="CW25" s="5" t="str">
        <f t="shared" ca="1" si="10"/>
        <v/>
      </c>
      <c r="CX25" s="5" t="str">
        <f t="shared" ca="1" si="10"/>
        <v/>
      </c>
      <c r="CY25" s="5" t="str">
        <f t="shared" ca="1" si="10"/>
        <v/>
      </c>
      <c r="CZ25" s="5" t="str">
        <f t="shared" ca="1" si="10"/>
        <v/>
      </c>
      <c r="DA25" s="5" t="str">
        <f t="shared" ca="1" si="10"/>
        <v/>
      </c>
      <c r="DB25" s="5" t="str">
        <f t="shared" ca="1" si="10"/>
        <v/>
      </c>
    </row>
    <row r="26" spans="1:106" s="1" customFormat="1" ht="23.25" x14ac:dyDescent="0.25">
      <c r="A26" s="4"/>
      <c r="B26" s="39" t="s">
        <v>20</v>
      </c>
      <c r="C26" s="34"/>
      <c r="D26" s="34"/>
      <c r="E26" s="49">
        <f>AVERAGE(E27:E36)</f>
        <v>1</v>
      </c>
      <c r="F26" s="40"/>
      <c r="G26" s="57"/>
      <c r="H26" s="29"/>
      <c r="I26" s="29"/>
      <c r="J26" s="7"/>
      <c r="K26" s="5" t="str">
        <f t="shared" ref="K26:T27" ca="1" si="27">IF(AND($C26="Objetivo",K$8&gt;=$F26,K$8&lt;=$F26+$G26-1),2,IF(AND($C26="Hito",K$8&gt;=$F26,K$8&lt;=$F26+$G26-1),1,""))</f>
        <v/>
      </c>
      <c r="L26" s="5" t="str">
        <f t="shared" ca="1" si="27"/>
        <v/>
      </c>
      <c r="M26" s="5" t="str">
        <f t="shared" ca="1" si="27"/>
        <v/>
      </c>
      <c r="N26" s="5" t="str">
        <f t="shared" ca="1" si="27"/>
        <v/>
      </c>
      <c r="O26" s="5" t="str">
        <f t="shared" ca="1" si="27"/>
        <v/>
      </c>
      <c r="P26" s="5" t="str">
        <f t="shared" ca="1" si="27"/>
        <v/>
      </c>
      <c r="Q26" s="5" t="str">
        <f t="shared" ca="1" si="27"/>
        <v/>
      </c>
      <c r="R26" s="5" t="str">
        <f t="shared" ca="1" si="27"/>
        <v/>
      </c>
      <c r="S26" s="5" t="str">
        <f t="shared" ca="1" si="27"/>
        <v/>
      </c>
      <c r="T26" s="5" t="str">
        <f t="shared" ca="1" si="27"/>
        <v/>
      </c>
      <c r="U26" s="5" t="str">
        <f t="shared" ref="U26:AD27" ca="1" si="28">IF(AND($C26="Objetivo",U$8&gt;=$F26,U$8&lt;=$F26+$G26-1),2,IF(AND($C26="Hito",U$8&gt;=$F26,U$8&lt;=$F26+$G26-1),1,""))</f>
        <v/>
      </c>
      <c r="V26" s="5" t="str">
        <f t="shared" ca="1" si="28"/>
        <v/>
      </c>
      <c r="W26" s="5" t="str">
        <f t="shared" ca="1" si="28"/>
        <v/>
      </c>
      <c r="X26" s="5" t="str">
        <f t="shared" ca="1" si="28"/>
        <v/>
      </c>
      <c r="Y26" s="5" t="str">
        <f t="shared" ca="1" si="28"/>
        <v/>
      </c>
      <c r="Z26" s="5" t="str">
        <f t="shared" ca="1" si="28"/>
        <v/>
      </c>
      <c r="AA26" s="5" t="str">
        <f t="shared" ca="1" si="28"/>
        <v/>
      </c>
      <c r="AB26" s="5" t="str">
        <f t="shared" ca="1" si="28"/>
        <v/>
      </c>
      <c r="AC26" s="5" t="str">
        <f t="shared" ca="1" si="28"/>
        <v/>
      </c>
      <c r="AD26" s="5" t="str">
        <f t="shared" ca="1" si="28"/>
        <v/>
      </c>
      <c r="AE26" s="5" t="str">
        <f t="shared" ref="AE26:AN27" ca="1" si="29">IF(AND($C26="Objetivo",AE$8&gt;=$F26,AE$8&lt;=$F26+$G26-1),2,IF(AND($C26="Hito",AE$8&gt;=$F26,AE$8&lt;=$F26+$G26-1),1,""))</f>
        <v/>
      </c>
      <c r="AF26" s="5" t="str">
        <f t="shared" ca="1" si="29"/>
        <v/>
      </c>
      <c r="AG26" s="5" t="str">
        <f t="shared" ca="1" si="29"/>
        <v/>
      </c>
      <c r="AH26" s="5" t="str">
        <f t="shared" ca="1" si="29"/>
        <v/>
      </c>
      <c r="AI26" s="5" t="str">
        <f t="shared" ca="1" si="29"/>
        <v/>
      </c>
      <c r="AJ26" s="5" t="str">
        <f t="shared" ca="1" si="29"/>
        <v/>
      </c>
      <c r="AK26" s="5" t="str">
        <f t="shared" ca="1" si="29"/>
        <v/>
      </c>
      <c r="AL26" s="5" t="str">
        <f t="shared" ca="1" si="29"/>
        <v/>
      </c>
      <c r="AM26" s="5" t="str">
        <f t="shared" ca="1" si="29"/>
        <v/>
      </c>
      <c r="AN26" s="5" t="str">
        <f t="shared" ca="1" si="29"/>
        <v/>
      </c>
      <c r="AO26" s="5" t="str">
        <f t="shared" ref="AO26:AX27" ca="1" si="30">IF(AND($C26="Objetivo",AO$8&gt;=$F26,AO$8&lt;=$F26+$G26-1),2,IF(AND($C26="Hito",AO$8&gt;=$F26,AO$8&lt;=$F26+$G26-1),1,""))</f>
        <v/>
      </c>
      <c r="AP26" s="5" t="str">
        <f t="shared" ca="1" si="30"/>
        <v/>
      </c>
      <c r="AQ26" s="5" t="str">
        <f t="shared" ca="1" si="30"/>
        <v/>
      </c>
      <c r="AR26" s="5" t="str">
        <f t="shared" ca="1" si="30"/>
        <v/>
      </c>
      <c r="AS26" s="5" t="str">
        <f t="shared" ca="1" si="30"/>
        <v/>
      </c>
      <c r="AT26" s="5" t="str">
        <f t="shared" ca="1" si="30"/>
        <v/>
      </c>
      <c r="AU26" s="5" t="str">
        <f t="shared" ca="1" si="30"/>
        <v/>
      </c>
      <c r="AV26" s="5" t="str">
        <f t="shared" ca="1" si="30"/>
        <v/>
      </c>
      <c r="AW26" s="5" t="str">
        <f t="shared" ca="1" si="30"/>
        <v/>
      </c>
      <c r="AX26" s="5" t="str">
        <f t="shared" ca="1" si="30"/>
        <v/>
      </c>
      <c r="AY26" s="5" t="str">
        <f t="shared" ref="AY26:BH27" ca="1" si="31">IF(AND($C26="Objetivo",AY$8&gt;=$F26,AY$8&lt;=$F26+$G26-1),2,IF(AND($C26="Hito",AY$8&gt;=$F26,AY$8&lt;=$F26+$G26-1),1,""))</f>
        <v/>
      </c>
      <c r="AZ26" s="5" t="str">
        <f t="shared" ca="1" si="31"/>
        <v/>
      </c>
      <c r="BA26" s="5" t="str">
        <f t="shared" ca="1" si="31"/>
        <v/>
      </c>
      <c r="BB26" s="5" t="str">
        <f t="shared" ca="1" si="31"/>
        <v/>
      </c>
      <c r="BC26" s="5" t="str">
        <f t="shared" ca="1" si="31"/>
        <v/>
      </c>
      <c r="BD26" s="5" t="str">
        <f t="shared" ca="1" si="31"/>
        <v/>
      </c>
      <c r="BE26" s="5" t="str">
        <f t="shared" ca="1" si="31"/>
        <v/>
      </c>
      <c r="BF26" s="5" t="str">
        <f t="shared" ca="1" si="31"/>
        <v/>
      </c>
      <c r="BG26" s="5" t="str">
        <f t="shared" ca="1" si="31"/>
        <v/>
      </c>
      <c r="BH26" s="5" t="str">
        <f t="shared" ca="1" si="31"/>
        <v/>
      </c>
      <c r="BI26" s="5" t="str">
        <f t="shared" ref="BI26:BN27" ca="1" si="32">IF(AND($C26="Objetivo",BI$8&gt;=$F26,BI$8&lt;=$F26+$G26-1),2,IF(AND($C26="Hito",BI$8&gt;=$F26,BI$8&lt;=$F26+$G26-1),1,""))</f>
        <v/>
      </c>
      <c r="BJ26" s="5" t="str">
        <f t="shared" ca="1" si="32"/>
        <v/>
      </c>
      <c r="BK26" s="5" t="str">
        <f t="shared" ca="1" si="32"/>
        <v/>
      </c>
      <c r="BL26" s="5" t="str">
        <f t="shared" ca="1" si="32"/>
        <v/>
      </c>
      <c r="BM26" s="5" t="str">
        <f t="shared" ca="1" si="32"/>
        <v/>
      </c>
      <c r="BN26" s="5" t="str">
        <f t="shared" ca="1" si="32"/>
        <v/>
      </c>
      <c r="BO26" s="5" t="str">
        <f t="shared" ca="1" si="26"/>
        <v/>
      </c>
      <c r="BP26" s="5" t="str">
        <f t="shared" ca="1" si="26"/>
        <v/>
      </c>
      <c r="BQ26" s="5" t="str">
        <f t="shared" ca="1" si="26"/>
        <v/>
      </c>
      <c r="BR26" s="5" t="str">
        <f t="shared" ca="1" si="26"/>
        <v/>
      </c>
      <c r="BS26" s="5" t="str">
        <f t="shared" ca="1" si="26"/>
        <v/>
      </c>
      <c r="BT26" s="5" t="str">
        <f t="shared" ca="1" si="26"/>
        <v/>
      </c>
      <c r="BU26" s="5" t="str">
        <f t="shared" ca="1" si="26"/>
        <v/>
      </c>
      <c r="BV26" s="5" t="str">
        <f t="shared" ca="1" si="26"/>
        <v/>
      </c>
      <c r="BW26" s="5" t="str">
        <f t="shared" ca="1" si="26"/>
        <v/>
      </c>
      <c r="BX26" s="5" t="str">
        <f t="shared" ca="1" si="26"/>
        <v/>
      </c>
      <c r="BY26" s="5" t="str">
        <f t="shared" ca="1" si="26"/>
        <v/>
      </c>
      <c r="BZ26" s="5" t="str">
        <f t="shared" ca="1" si="26"/>
        <v/>
      </c>
      <c r="CA26" s="5" t="str">
        <f t="shared" ca="1" si="26"/>
        <v/>
      </c>
      <c r="CB26" s="5" t="str">
        <f t="shared" ca="1" si="26"/>
        <v/>
      </c>
      <c r="CC26" s="5" t="str">
        <f t="shared" ca="1" si="26"/>
        <v/>
      </c>
      <c r="CD26" s="5" t="str">
        <f t="shared" ca="1" si="26"/>
        <v/>
      </c>
      <c r="CE26" s="5" t="str">
        <f t="shared" ca="1" si="26"/>
        <v/>
      </c>
      <c r="CF26" s="5" t="str">
        <f t="shared" ca="1" si="26"/>
        <v/>
      </c>
      <c r="CG26" s="5" t="str">
        <f t="shared" ca="1" si="26"/>
        <v/>
      </c>
      <c r="CH26" s="5" t="str">
        <f t="shared" ca="1" si="26"/>
        <v/>
      </c>
      <c r="CI26" s="5" t="str">
        <f t="shared" ca="1" si="26"/>
        <v/>
      </c>
      <c r="CJ26" s="5" t="str">
        <f t="shared" ca="1" si="26"/>
        <v/>
      </c>
      <c r="CK26" s="5" t="str">
        <f t="shared" ca="1" si="26"/>
        <v/>
      </c>
      <c r="CL26" s="5" t="str">
        <f t="shared" ca="1" si="26"/>
        <v/>
      </c>
      <c r="CM26" s="5" t="str">
        <f t="shared" ca="1" si="26"/>
        <v/>
      </c>
      <c r="CN26" s="5" t="str">
        <f t="shared" ca="1" si="26"/>
        <v/>
      </c>
      <c r="CO26" s="5" t="str">
        <f t="shared" ca="1" si="26"/>
        <v/>
      </c>
      <c r="CP26" s="5" t="str">
        <f t="shared" ca="1" si="26"/>
        <v/>
      </c>
      <c r="CQ26" s="5" t="str">
        <f t="shared" ca="1" si="26"/>
        <v/>
      </c>
      <c r="CR26" s="5" t="str">
        <f t="shared" ca="1" si="26"/>
        <v/>
      </c>
      <c r="CS26" s="5" t="str">
        <f t="shared" ca="1" si="26"/>
        <v/>
      </c>
      <c r="CT26" s="5" t="str">
        <f t="shared" ca="1" si="26"/>
        <v/>
      </c>
      <c r="CU26" s="5" t="str">
        <f t="shared" ca="1" si="10"/>
        <v/>
      </c>
      <c r="CV26" s="5" t="str">
        <f t="shared" ca="1" si="10"/>
        <v/>
      </c>
      <c r="CW26" s="5" t="str">
        <f t="shared" ca="1" si="10"/>
        <v/>
      </c>
      <c r="CX26" s="5" t="str">
        <f t="shared" ca="1" si="10"/>
        <v/>
      </c>
      <c r="CY26" s="5" t="str">
        <f t="shared" ca="1" si="10"/>
        <v/>
      </c>
      <c r="CZ26" s="5" t="str">
        <f t="shared" ca="1" si="10"/>
        <v/>
      </c>
      <c r="DA26" s="5" t="str">
        <f t="shared" ca="1" si="10"/>
        <v/>
      </c>
      <c r="DB26" s="5" t="str">
        <f t="shared" ca="1" si="10"/>
        <v/>
      </c>
    </row>
    <row r="27" spans="1:106" s="1" customFormat="1" ht="40.15" customHeight="1" x14ac:dyDescent="0.25">
      <c r="A27" s="4"/>
      <c r="B27" s="41" t="s">
        <v>71</v>
      </c>
      <c r="C27" s="34" t="s">
        <v>5</v>
      </c>
      <c r="D27" s="34" t="s">
        <v>37</v>
      </c>
      <c r="E27" s="50">
        <v>1</v>
      </c>
      <c r="F27" s="40">
        <v>45953</v>
      </c>
      <c r="G27" s="57">
        <v>2</v>
      </c>
      <c r="H27" s="32" t="s">
        <v>58</v>
      </c>
      <c r="I27" s="32" t="s">
        <v>69</v>
      </c>
      <c r="J27" s="7"/>
      <c r="K27" s="5" t="str">
        <f t="shared" ca="1" si="27"/>
        <v/>
      </c>
      <c r="L27" s="5" t="str">
        <f t="shared" ca="1" si="27"/>
        <v/>
      </c>
      <c r="M27" s="5" t="str">
        <f t="shared" ca="1" si="27"/>
        <v/>
      </c>
      <c r="N27" s="5" t="str">
        <f t="shared" ca="1" si="27"/>
        <v/>
      </c>
      <c r="O27" s="5" t="str">
        <f t="shared" ca="1" si="27"/>
        <v/>
      </c>
      <c r="P27" s="5" t="str">
        <f t="shared" ca="1" si="27"/>
        <v/>
      </c>
      <c r="Q27" s="5" t="str">
        <f t="shared" ca="1" si="27"/>
        <v/>
      </c>
      <c r="R27" s="5" t="str">
        <f t="shared" ca="1" si="27"/>
        <v/>
      </c>
      <c r="S27" s="5" t="str">
        <f t="shared" ca="1" si="27"/>
        <v/>
      </c>
      <c r="T27" s="5" t="str">
        <f t="shared" ca="1" si="27"/>
        <v/>
      </c>
      <c r="U27" s="5" t="str">
        <f t="shared" ca="1" si="28"/>
        <v/>
      </c>
      <c r="V27" s="5" t="str">
        <f t="shared" ca="1" si="28"/>
        <v/>
      </c>
      <c r="W27" s="5" t="str">
        <f t="shared" ca="1" si="28"/>
        <v/>
      </c>
      <c r="X27" s="5" t="str">
        <f t="shared" ca="1" si="28"/>
        <v/>
      </c>
      <c r="Y27" s="5" t="str">
        <f t="shared" ca="1" si="28"/>
        <v/>
      </c>
      <c r="Z27" s="5" t="str">
        <f t="shared" ca="1" si="28"/>
        <v/>
      </c>
      <c r="AA27" s="5" t="str">
        <f t="shared" ca="1" si="28"/>
        <v/>
      </c>
      <c r="AB27" s="5" t="str">
        <f t="shared" ca="1" si="28"/>
        <v/>
      </c>
      <c r="AC27" s="5" t="str">
        <f t="shared" ca="1" si="28"/>
        <v/>
      </c>
      <c r="AD27" s="5" t="str">
        <f t="shared" ca="1" si="28"/>
        <v/>
      </c>
      <c r="AE27" s="5" t="str">
        <f t="shared" ca="1" si="29"/>
        <v/>
      </c>
      <c r="AF27" s="5" t="str">
        <f t="shared" ca="1" si="29"/>
        <v/>
      </c>
      <c r="AG27" s="5" t="str">
        <f t="shared" ca="1" si="29"/>
        <v/>
      </c>
      <c r="AH27" s="5" t="str">
        <f t="shared" ca="1" si="29"/>
        <v/>
      </c>
      <c r="AI27" s="5" t="str">
        <f t="shared" ca="1" si="29"/>
        <v/>
      </c>
      <c r="AJ27" s="5" t="str">
        <f t="shared" ca="1" si="29"/>
        <v/>
      </c>
      <c r="AK27" s="5" t="str">
        <f t="shared" ca="1" si="29"/>
        <v/>
      </c>
      <c r="AL27" s="5" t="str">
        <f t="shared" ca="1" si="29"/>
        <v/>
      </c>
      <c r="AM27" s="5" t="str">
        <f t="shared" ca="1" si="29"/>
        <v/>
      </c>
      <c r="AN27" s="5" t="str">
        <f t="shared" ca="1" si="29"/>
        <v/>
      </c>
      <c r="AO27" s="5" t="str">
        <f t="shared" ca="1" si="30"/>
        <v/>
      </c>
      <c r="AP27" s="5" t="str">
        <f t="shared" ca="1" si="30"/>
        <v/>
      </c>
      <c r="AQ27" s="5" t="str">
        <f t="shared" ca="1" si="30"/>
        <v/>
      </c>
      <c r="AR27" s="5" t="str">
        <f t="shared" ca="1" si="30"/>
        <v/>
      </c>
      <c r="AS27" s="5" t="str">
        <f t="shared" ca="1" si="30"/>
        <v/>
      </c>
      <c r="AT27" s="5" t="str">
        <f t="shared" ca="1" si="30"/>
        <v/>
      </c>
      <c r="AU27" s="5" t="str">
        <f t="shared" ca="1" si="30"/>
        <v/>
      </c>
      <c r="AV27" s="5" t="str">
        <f t="shared" ca="1" si="30"/>
        <v/>
      </c>
      <c r="AW27" s="5" t="str">
        <f t="shared" ca="1" si="30"/>
        <v/>
      </c>
      <c r="AX27" s="5" t="str">
        <f t="shared" ca="1" si="30"/>
        <v/>
      </c>
      <c r="AY27" s="5" t="str">
        <f t="shared" ca="1" si="31"/>
        <v/>
      </c>
      <c r="AZ27" s="5" t="str">
        <f t="shared" ca="1" si="31"/>
        <v/>
      </c>
      <c r="BA27" s="5" t="str">
        <f t="shared" ca="1" si="31"/>
        <v/>
      </c>
      <c r="BB27" s="5" t="str">
        <f t="shared" ca="1" si="31"/>
        <v/>
      </c>
      <c r="BC27" s="5" t="str">
        <f t="shared" ca="1" si="31"/>
        <v/>
      </c>
      <c r="BD27" s="5" t="str">
        <f t="shared" ca="1" si="31"/>
        <v/>
      </c>
      <c r="BE27" s="5" t="str">
        <f t="shared" ca="1" si="31"/>
        <v/>
      </c>
      <c r="BF27" s="5" t="str">
        <f t="shared" ca="1" si="31"/>
        <v/>
      </c>
      <c r="BG27" s="5" t="str">
        <f t="shared" ca="1" si="31"/>
        <v/>
      </c>
      <c r="BH27" s="5" t="str">
        <f t="shared" ca="1" si="31"/>
        <v/>
      </c>
      <c r="BI27" s="5" t="str">
        <f t="shared" ca="1" si="32"/>
        <v/>
      </c>
      <c r="BJ27" s="5" t="str">
        <f t="shared" ca="1" si="32"/>
        <v/>
      </c>
      <c r="BK27" s="5" t="str">
        <f t="shared" ca="1" si="32"/>
        <v/>
      </c>
      <c r="BL27" s="5" t="str">
        <f t="shared" ca="1" si="32"/>
        <v/>
      </c>
      <c r="BM27" s="5" t="str">
        <f t="shared" ca="1" si="32"/>
        <v/>
      </c>
      <c r="BN27" s="5" t="str">
        <f t="shared" ca="1" si="32"/>
        <v/>
      </c>
      <c r="BO27" s="5" t="str">
        <f t="shared" ca="1" si="26"/>
        <v/>
      </c>
      <c r="BP27" s="5" t="str">
        <f t="shared" ca="1" si="26"/>
        <v/>
      </c>
      <c r="BQ27" s="5" t="str">
        <f t="shared" ca="1" si="26"/>
        <v/>
      </c>
      <c r="BR27" s="5" t="str">
        <f t="shared" ca="1" si="26"/>
        <v/>
      </c>
      <c r="BS27" s="5" t="str">
        <f t="shared" ca="1" si="26"/>
        <v/>
      </c>
      <c r="BT27" s="5" t="str">
        <f t="shared" ca="1" si="26"/>
        <v/>
      </c>
      <c r="BU27" s="5" t="str">
        <f t="shared" ca="1" si="26"/>
        <v/>
      </c>
      <c r="BV27" s="5" t="str">
        <f t="shared" ca="1" si="26"/>
        <v/>
      </c>
      <c r="BW27" s="5" t="str">
        <f t="shared" ca="1" si="26"/>
        <v/>
      </c>
      <c r="BX27" s="5" t="str">
        <f t="shared" ca="1" si="26"/>
        <v/>
      </c>
      <c r="BY27" s="5" t="str">
        <f t="shared" ca="1" si="26"/>
        <v/>
      </c>
      <c r="BZ27" s="5" t="str">
        <f t="shared" ca="1" si="26"/>
        <v/>
      </c>
      <c r="CA27" s="5" t="str">
        <f t="shared" ca="1" si="26"/>
        <v/>
      </c>
      <c r="CB27" s="5" t="str">
        <f t="shared" ca="1" si="26"/>
        <v/>
      </c>
      <c r="CC27" s="5" t="str">
        <f t="shared" ca="1" si="26"/>
        <v/>
      </c>
      <c r="CD27" s="5" t="str">
        <f t="shared" ca="1" si="26"/>
        <v/>
      </c>
      <c r="CE27" s="5" t="str">
        <f t="shared" ca="1" si="26"/>
        <v/>
      </c>
      <c r="CF27" s="5" t="str">
        <f t="shared" ca="1" si="26"/>
        <v/>
      </c>
      <c r="CG27" s="5" t="str">
        <f t="shared" ca="1" si="26"/>
        <v/>
      </c>
      <c r="CH27" s="5" t="str">
        <f t="shared" ca="1" si="26"/>
        <v/>
      </c>
      <c r="CI27" s="5" t="str">
        <f t="shared" ca="1" si="26"/>
        <v/>
      </c>
      <c r="CJ27" s="5" t="str">
        <f t="shared" ca="1" si="26"/>
        <v/>
      </c>
      <c r="CK27" s="5" t="str">
        <f t="shared" ca="1" si="26"/>
        <v/>
      </c>
      <c r="CL27" s="5" t="str">
        <f t="shared" ca="1" si="26"/>
        <v/>
      </c>
      <c r="CM27" s="5" t="str">
        <f t="shared" ca="1" si="26"/>
        <v/>
      </c>
      <c r="CN27" s="5" t="str">
        <f t="shared" ca="1" si="26"/>
        <v/>
      </c>
      <c r="CO27" s="5" t="str">
        <f t="shared" ca="1" si="26"/>
        <v/>
      </c>
      <c r="CP27" s="5" t="str">
        <f t="shared" ca="1" si="26"/>
        <v/>
      </c>
      <c r="CQ27" s="5" t="str">
        <f t="shared" ca="1" si="26"/>
        <v/>
      </c>
      <c r="CR27" s="5" t="str">
        <f t="shared" ca="1" si="26"/>
        <v/>
      </c>
      <c r="CS27" s="5" t="str">
        <f t="shared" ca="1" si="26"/>
        <v/>
      </c>
      <c r="CT27" s="5" t="str">
        <f t="shared" ca="1" si="26"/>
        <v/>
      </c>
      <c r="CU27" s="5" t="str">
        <f t="shared" ca="1" si="10"/>
        <v/>
      </c>
      <c r="CV27" s="5" t="str">
        <f t="shared" ca="1" si="10"/>
        <v/>
      </c>
      <c r="CW27" s="5" t="str">
        <f t="shared" ca="1" si="10"/>
        <v/>
      </c>
      <c r="CX27" s="5" t="str">
        <f t="shared" ca="1" si="10"/>
        <v/>
      </c>
      <c r="CY27" s="5" t="str">
        <f t="shared" ca="1" si="10"/>
        <v/>
      </c>
      <c r="CZ27" s="5" t="str">
        <f t="shared" ca="1" si="10"/>
        <v/>
      </c>
      <c r="DA27" s="5" t="str">
        <f t="shared" ca="1" si="10"/>
        <v/>
      </c>
      <c r="DB27" s="5" t="str">
        <f t="shared" ca="1" si="10"/>
        <v/>
      </c>
    </row>
    <row r="28" spans="1:106" s="1" customFormat="1" ht="40.15" customHeight="1" x14ac:dyDescent="0.25">
      <c r="A28" s="4"/>
      <c r="B28" s="41" t="s">
        <v>38</v>
      </c>
      <c r="C28" s="34" t="s">
        <v>5</v>
      </c>
      <c r="D28" s="34" t="s">
        <v>37</v>
      </c>
      <c r="E28" s="50">
        <v>1</v>
      </c>
      <c r="F28" s="40">
        <v>45955</v>
      </c>
      <c r="G28" s="57">
        <v>3</v>
      </c>
      <c r="H28" s="32" t="s">
        <v>59</v>
      </c>
      <c r="I28" s="32" t="s">
        <v>64</v>
      </c>
      <c r="J28" s="7"/>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t="str">
        <f t="shared" ca="1" si="26"/>
        <v/>
      </c>
      <c r="BP28" s="5" t="str">
        <f t="shared" ca="1" si="26"/>
        <v/>
      </c>
      <c r="BQ28" s="5" t="str">
        <f t="shared" ca="1" si="26"/>
        <v/>
      </c>
      <c r="BR28" s="5" t="str">
        <f t="shared" ca="1" si="26"/>
        <v/>
      </c>
      <c r="BS28" s="5" t="str">
        <f t="shared" ca="1" si="26"/>
        <v/>
      </c>
      <c r="BT28" s="5" t="str">
        <f t="shared" ca="1" si="26"/>
        <v/>
      </c>
      <c r="BU28" s="5" t="str">
        <f t="shared" ca="1" si="26"/>
        <v/>
      </c>
      <c r="BV28" s="5" t="str">
        <f t="shared" ca="1" si="26"/>
        <v/>
      </c>
      <c r="BW28" s="5" t="str">
        <f t="shared" ca="1" si="26"/>
        <v/>
      </c>
      <c r="BX28" s="5" t="str">
        <f t="shared" ca="1" si="26"/>
        <v/>
      </c>
      <c r="BY28" s="5" t="str">
        <f t="shared" ca="1" si="26"/>
        <v/>
      </c>
      <c r="BZ28" s="5" t="str">
        <f t="shared" ca="1" si="26"/>
        <v/>
      </c>
      <c r="CA28" s="5" t="str">
        <f t="shared" ca="1" si="26"/>
        <v/>
      </c>
      <c r="CB28" s="5" t="str">
        <f t="shared" ca="1" si="26"/>
        <v/>
      </c>
      <c r="CC28" s="5" t="str">
        <f t="shared" ca="1" si="26"/>
        <v/>
      </c>
      <c r="CD28" s="5" t="str">
        <f t="shared" ca="1" si="26"/>
        <v/>
      </c>
      <c r="CE28" s="5" t="str">
        <f t="shared" ca="1" si="26"/>
        <v/>
      </c>
      <c r="CF28" s="5" t="str">
        <f t="shared" ca="1" si="26"/>
        <v/>
      </c>
      <c r="CG28" s="5" t="str">
        <f t="shared" ca="1" si="26"/>
        <v/>
      </c>
      <c r="CH28" s="5" t="str">
        <f t="shared" ca="1" si="26"/>
        <v/>
      </c>
      <c r="CI28" s="5" t="str">
        <f t="shared" ca="1" si="26"/>
        <v/>
      </c>
      <c r="CJ28" s="5" t="str">
        <f t="shared" ca="1" si="26"/>
        <v/>
      </c>
      <c r="CK28" s="5" t="str">
        <f t="shared" ca="1" si="26"/>
        <v/>
      </c>
      <c r="CL28" s="5" t="str">
        <f t="shared" ca="1" si="26"/>
        <v/>
      </c>
      <c r="CM28" s="5" t="str">
        <f t="shared" ca="1" si="26"/>
        <v/>
      </c>
      <c r="CN28" s="5" t="str">
        <f t="shared" ca="1" si="26"/>
        <v/>
      </c>
      <c r="CO28" s="5" t="str">
        <f t="shared" ca="1" si="26"/>
        <v/>
      </c>
      <c r="CP28" s="5" t="str">
        <f t="shared" ca="1" si="26"/>
        <v/>
      </c>
      <c r="CQ28" s="5" t="str">
        <f t="shared" ca="1" si="26"/>
        <v/>
      </c>
      <c r="CR28" s="5" t="str">
        <f t="shared" ca="1" si="26"/>
        <v/>
      </c>
      <c r="CS28" s="5" t="str">
        <f t="shared" ref="CS28:DB35" ca="1" si="33">IF(AND($C28="Objetivo",CS$8&gt;=$F28,CS$8&lt;=$F28+$G28-1),2,IF(AND($C28="Hito",CS$8&gt;=$F28,CS$8&lt;=$F28+$G28-1),1,""))</f>
        <v/>
      </c>
      <c r="CT28" s="5" t="str">
        <f t="shared" ca="1" si="33"/>
        <v/>
      </c>
      <c r="CU28" s="5" t="str">
        <f t="shared" ca="1" si="33"/>
        <v/>
      </c>
      <c r="CV28" s="5" t="str">
        <f t="shared" ca="1" si="33"/>
        <v/>
      </c>
      <c r="CW28" s="5" t="str">
        <f t="shared" ca="1" si="33"/>
        <v/>
      </c>
      <c r="CX28" s="5" t="str">
        <f t="shared" ca="1" si="33"/>
        <v/>
      </c>
      <c r="CY28" s="5" t="str">
        <f t="shared" ca="1" si="33"/>
        <v/>
      </c>
      <c r="CZ28" s="5" t="str">
        <f t="shared" ca="1" si="33"/>
        <v/>
      </c>
      <c r="DA28" s="5" t="str">
        <f t="shared" ca="1" si="33"/>
        <v/>
      </c>
      <c r="DB28" s="5" t="str">
        <f t="shared" ca="1" si="33"/>
        <v/>
      </c>
    </row>
    <row r="29" spans="1:106" s="1" customFormat="1" ht="40.15" customHeight="1" x14ac:dyDescent="0.25">
      <c r="A29" s="3"/>
      <c r="B29" s="34" t="s">
        <v>39</v>
      </c>
      <c r="C29" s="34" t="s">
        <v>5</v>
      </c>
      <c r="D29" s="34" t="s">
        <v>37</v>
      </c>
      <c r="E29" s="50">
        <v>1</v>
      </c>
      <c r="F29" s="40">
        <v>45958</v>
      </c>
      <c r="G29" s="57">
        <v>3</v>
      </c>
      <c r="H29" s="32" t="s">
        <v>60</v>
      </c>
      <c r="I29" s="32" t="s">
        <v>65</v>
      </c>
      <c r="J29" s="7"/>
      <c r="K29" s="5" t="str">
        <f t="shared" ref="K29:T31" ca="1" si="34">IF(AND($C29="Objetivo",K$8&gt;=$F29,K$8&lt;=$F29+$G29-1),2,IF(AND($C29="Hito",K$8&gt;=$F29,K$8&lt;=$F29+$G29-1),1,""))</f>
        <v/>
      </c>
      <c r="L29" s="5" t="str">
        <f t="shared" ca="1" si="34"/>
        <v/>
      </c>
      <c r="M29" s="5" t="str">
        <f t="shared" ca="1" si="34"/>
        <v/>
      </c>
      <c r="N29" s="5" t="str">
        <f t="shared" ca="1" si="34"/>
        <v/>
      </c>
      <c r="O29" s="5" t="str">
        <f t="shared" ca="1" si="34"/>
        <v/>
      </c>
      <c r="P29" s="5" t="str">
        <f t="shared" ca="1" si="34"/>
        <v/>
      </c>
      <c r="Q29" s="5" t="str">
        <f t="shared" ca="1" si="34"/>
        <v/>
      </c>
      <c r="R29" s="5" t="str">
        <f t="shared" ca="1" si="34"/>
        <v/>
      </c>
      <c r="S29" s="5" t="str">
        <f t="shared" ca="1" si="34"/>
        <v/>
      </c>
      <c r="T29" s="5" t="str">
        <f t="shared" ca="1" si="34"/>
        <v/>
      </c>
      <c r="U29" s="5" t="str">
        <f t="shared" ref="U29:AD31" ca="1" si="35">IF(AND($C29="Objetivo",U$8&gt;=$F29,U$8&lt;=$F29+$G29-1),2,IF(AND($C29="Hito",U$8&gt;=$F29,U$8&lt;=$F29+$G29-1),1,""))</f>
        <v/>
      </c>
      <c r="V29" s="5" t="str">
        <f t="shared" ca="1" si="35"/>
        <v/>
      </c>
      <c r="W29" s="5" t="str">
        <f t="shared" ca="1" si="35"/>
        <v/>
      </c>
      <c r="X29" s="5" t="str">
        <f t="shared" ca="1" si="35"/>
        <v/>
      </c>
      <c r="Y29" s="5" t="str">
        <f t="shared" ca="1" si="35"/>
        <v/>
      </c>
      <c r="Z29" s="5" t="str">
        <f t="shared" ca="1" si="35"/>
        <v/>
      </c>
      <c r="AA29" s="5" t="str">
        <f t="shared" ca="1" si="35"/>
        <v/>
      </c>
      <c r="AB29" s="5" t="str">
        <f t="shared" ca="1" si="35"/>
        <v/>
      </c>
      <c r="AC29" s="5" t="str">
        <f t="shared" ca="1" si="35"/>
        <v/>
      </c>
      <c r="AD29" s="5" t="str">
        <f t="shared" ca="1" si="35"/>
        <v/>
      </c>
      <c r="AE29" s="5" t="str">
        <f t="shared" ref="AE29:AN31" ca="1" si="36">IF(AND($C29="Objetivo",AE$8&gt;=$F29,AE$8&lt;=$F29+$G29-1),2,IF(AND($C29="Hito",AE$8&gt;=$F29,AE$8&lt;=$F29+$G29-1),1,""))</f>
        <v/>
      </c>
      <c r="AF29" s="5" t="str">
        <f t="shared" ca="1" si="36"/>
        <v/>
      </c>
      <c r="AG29" s="5" t="str">
        <f t="shared" ca="1" si="36"/>
        <v/>
      </c>
      <c r="AH29" s="5" t="str">
        <f t="shared" ca="1" si="36"/>
        <v/>
      </c>
      <c r="AI29" s="5" t="str">
        <f t="shared" ca="1" si="36"/>
        <v/>
      </c>
      <c r="AJ29" s="5" t="str">
        <f t="shared" ca="1" si="36"/>
        <v/>
      </c>
      <c r="AK29" s="5" t="str">
        <f t="shared" ca="1" si="36"/>
        <v/>
      </c>
      <c r="AL29" s="5" t="str">
        <f t="shared" ca="1" si="36"/>
        <v/>
      </c>
      <c r="AM29" s="5" t="str">
        <f t="shared" ca="1" si="36"/>
        <v/>
      </c>
      <c r="AN29" s="5" t="str">
        <f t="shared" ca="1" si="36"/>
        <v/>
      </c>
      <c r="AO29" s="5" t="str">
        <f t="shared" ref="AO29:AX31" ca="1" si="37">IF(AND($C29="Objetivo",AO$8&gt;=$F29,AO$8&lt;=$F29+$G29-1),2,IF(AND($C29="Hito",AO$8&gt;=$F29,AO$8&lt;=$F29+$G29-1),1,""))</f>
        <v/>
      </c>
      <c r="AP29" s="5" t="str">
        <f t="shared" ca="1" si="37"/>
        <v/>
      </c>
      <c r="AQ29" s="5" t="str">
        <f t="shared" ca="1" si="37"/>
        <v/>
      </c>
      <c r="AR29" s="5" t="str">
        <f t="shared" ca="1" si="37"/>
        <v/>
      </c>
      <c r="AS29" s="5" t="str">
        <f t="shared" ca="1" si="37"/>
        <v/>
      </c>
      <c r="AT29" s="5" t="str">
        <f t="shared" ca="1" si="37"/>
        <v/>
      </c>
      <c r="AU29" s="5" t="str">
        <f t="shared" ca="1" si="37"/>
        <v/>
      </c>
      <c r="AV29" s="5" t="str">
        <f t="shared" ca="1" si="37"/>
        <v/>
      </c>
      <c r="AW29" s="5" t="str">
        <f t="shared" ca="1" si="37"/>
        <v/>
      </c>
      <c r="AX29" s="5" t="str">
        <f t="shared" ca="1" si="37"/>
        <v/>
      </c>
      <c r="AY29" s="5" t="str">
        <f t="shared" ref="AY29:BH31" ca="1" si="38">IF(AND($C29="Objetivo",AY$8&gt;=$F29,AY$8&lt;=$F29+$G29-1),2,IF(AND($C29="Hito",AY$8&gt;=$F29,AY$8&lt;=$F29+$G29-1),1,""))</f>
        <v/>
      </c>
      <c r="AZ29" s="5" t="str">
        <f t="shared" ca="1" si="38"/>
        <v/>
      </c>
      <c r="BA29" s="5" t="str">
        <f t="shared" ca="1" si="38"/>
        <v/>
      </c>
      <c r="BB29" s="5" t="str">
        <f t="shared" ca="1" si="38"/>
        <v/>
      </c>
      <c r="BC29" s="5" t="str">
        <f t="shared" ca="1" si="38"/>
        <v/>
      </c>
      <c r="BD29" s="5" t="str">
        <f t="shared" ca="1" si="38"/>
        <v/>
      </c>
      <c r="BE29" s="5" t="str">
        <f t="shared" ca="1" si="38"/>
        <v/>
      </c>
      <c r="BF29" s="5" t="str">
        <f t="shared" ca="1" si="38"/>
        <v/>
      </c>
      <c r="BG29" s="5" t="str">
        <f t="shared" ca="1" si="38"/>
        <v/>
      </c>
      <c r="BH29" s="5" t="str">
        <f t="shared" ca="1" si="38"/>
        <v/>
      </c>
      <c r="BI29" s="5" t="str">
        <f t="shared" ref="BI29:BN31" ca="1" si="39">IF(AND($C29="Objetivo",BI$8&gt;=$F29,BI$8&lt;=$F29+$G29-1),2,IF(AND($C29="Hito",BI$8&gt;=$F29,BI$8&lt;=$F29+$G29-1),1,""))</f>
        <v/>
      </c>
      <c r="BJ29" s="5" t="str">
        <f t="shared" ca="1" si="39"/>
        <v/>
      </c>
      <c r="BK29" s="5" t="str">
        <f t="shared" ca="1" si="39"/>
        <v/>
      </c>
      <c r="BL29" s="5" t="str">
        <f t="shared" ca="1" si="39"/>
        <v/>
      </c>
      <c r="BM29" s="5" t="str">
        <f t="shared" ca="1" si="39"/>
        <v/>
      </c>
      <c r="BN29" s="5" t="str">
        <f t="shared" ca="1" si="39"/>
        <v/>
      </c>
      <c r="BO29" s="5" t="str">
        <f t="shared" ref="BO29:CT37" ca="1" si="40">IF(AND($C29="Objetivo",BO$8&gt;=$F29,BO$8&lt;=$F29+$G29-1),2,IF(AND($C29="Hito",BO$8&gt;=$F29,BO$8&lt;=$F29+$G29-1),1,""))</f>
        <v/>
      </c>
      <c r="BP29" s="5" t="str">
        <f t="shared" ca="1" si="40"/>
        <v/>
      </c>
      <c r="BQ29" s="5" t="str">
        <f t="shared" ca="1" si="40"/>
        <v/>
      </c>
      <c r="BR29" s="5" t="str">
        <f t="shared" ca="1" si="40"/>
        <v/>
      </c>
      <c r="BS29" s="5" t="str">
        <f t="shared" ca="1" si="40"/>
        <v/>
      </c>
      <c r="BT29" s="5" t="str">
        <f t="shared" ca="1" si="40"/>
        <v/>
      </c>
      <c r="BU29" s="5" t="str">
        <f t="shared" ca="1" si="40"/>
        <v/>
      </c>
      <c r="BV29" s="5" t="str">
        <f t="shared" ca="1" si="40"/>
        <v/>
      </c>
      <c r="BW29" s="5" t="str">
        <f t="shared" ca="1" si="40"/>
        <v/>
      </c>
      <c r="BX29" s="5" t="str">
        <f t="shared" ca="1" si="40"/>
        <v/>
      </c>
      <c r="BY29" s="5" t="str">
        <f t="shared" ca="1" si="40"/>
        <v/>
      </c>
      <c r="BZ29" s="5" t="str">
        <f t="shared" ca="1" si="40"/>
        <v/>
      </c>
      <c r="CA29" s="5" t="str">
        <f t="shared" ca="1" si="40"/>
        <v/>
      </c>
      <c r="CB29" s="5" t="str">
        <f t="shared" ca="1" si="40"/>
        <v/>
      </c>
      <c r="CC29" s="5" t="str">
        <f t="shared" ca="1" si="40"/>
        <v/>
      </c>
      <c r="CD29" s="5" t="str">
        <f t="shared" ca="1" si="40"/>
        <v/>
      </c>
      <c r="CE29" s="5" t="str">
        <f t="shared" ca="1" si="40"/>
        <v/>
      </c>
      <c r="CF29" s="5" t="str">
        <f t="shared" ca="1" si="40"/>
        <v/>
      </c>
      <c r="CG29" s="5" t="str">
        <f t="shared" ca="1" si="40"/>
        <v/>
      </c>
      <c r="CH29" s="5" t="str">
        <f t="shared" ca="1" si="40"/>
        <v/>
      </c>
      <c r="CI29" s="5" t="str">
        <f t="shared" ca="1" si="40"/>
        <v/>
      </c>
      <c r="CJ29" s="5" t="str">
        <f t="shared" ca="1" si="40"/>
        <v/>
      </c>
      <c r="CK29" s="5" t="str">
        <f t="shared" ca="1" si="40"/>
        <v/>
      </c>
      <c r="CL29" s="5" t="str">
        <f t="shared" ca="1" si="40"/>
        <v/>
      </c>
      <c r="CM29" s="5" t="str">
        <f t="shared" ca="1" si="40"/>
        <v/>
      </c>
      <c r="CN29" s="5" t="str">
        <f t="shared" ca="1" si="40"/>
        <v/>
      </c>
      <c r="CO29" s="5" t="str">
        <f t="shared" ca="1" si="40"/>
        <v/>
      </c>
      <c r="CP29" s="5" t="str">
        <f t="shared" ca="1" si="40"/>
        <v/>
      </c>
      <c r="CQ29" s="5" t="str">
        <f t="shared" ca="1" si="40"/>
        <v/>
      </c>
      <c r="CR29" s="5" t="str">
        <f t="shared" ca="1" si="40"/>
        <v/>
      </c>
      <c r="CS29" s="5" t="str">
        <f t="shared" ca="1" si="40"/>
        <v/>
      </c>
      <c r="CT29" s="5" t="str">
        <f t="shared" ca="1" si="40"/>
        <v/>
      </c>
      <c r="CU29" s="5" t="str">
        <f t="shared" ca="1" si="33"/>
        <v/>
      </c>
      <c r="CV29" s="5" t="str">
        <f t="shared" ca="1" si="33"/>
        <v/>
      </c>
      <c r="CW29" s="5" t="str">
        <f t="shared" ca="1" si="33"/>
        <v/>
      </c>
      <c r="CX29" s="5" t="str">
        <f t="shared" ca="1" si="33"/>
        <v/>
      </c>
      <c r="CY29" s="5" t="str">
        <f t="shared" ca="1" si="33"/>
        <v/>
      </c>
      <c r="CZ29" s="5" t="str">
        <f t="shared" ca="1" si="33"/>
        <v/>
      </c>
      <c r="DA29" s="5" t="str">
        <f t="shared" ca="1" si="33"/>
        <v/>
      </c>
      <c r="DB29" s="5" t="str">
        <f t="shared" ca="1" si="33"/>
        <v/>
      </c>
    </row>
    <row r="30" spans="1:106" s="1" customFormat="1" ht="39.75" customHeight="1" x14ac:dyDescent="0.25">
      <c r="A30" s="3"/>
      <c r="B30" s="34" t="s">
        <v>40</v>
      </c>
      <c r="C30" s="34" t="s">
        <v>5</v>
      </c>
      <c r="D30" s="34" t="s">
        <v>37</v>
      </c>
      <c r="E30" s="50">
        <v>1</v>
      </c>
      <c r="F30" s="40">
        <v>45962</v>
      </c>
      <c r="G30" s="57">
        <v>2</v>
      </c>
      <c r="H30" s="32" t="s">
        <v>61</v>
      </c>
      <c r="I30" s="32" t="s">
        <v>66</v>
      </c>
      <c r="J30" s="7"/>
      <c r="K30" s="5" t="str">
        <f t="shared" ca="1" si="34"/>
        <v/>
      </c>
      <c r="L30" s="5" t="str">
        <f t="shared" ca="1" si="34"/>
        <v/>
      </c>
      <c r="M30" s="5" t="str">
        <f t="shared" ca="1" si="34"/>
        <v/>
      </c>
      <c r="N30" s="5" t="str">
        <f t="shared" ca="1" si="34"/>
        <v/>
      </c>
      <c r="O30" s="5" t="str">
        <f t="shared" ca="1" si="34"/>
        <v/>
      </c>
      <c r="P30" s="5" t="str">
        <f t="shared" ca="1" si="34"/>
        <v/>
      </c>
      <c r="Q30" s="5" t="str">
        <f t="shared" ca="1" si="34"/>
        <v/>
      </c>
      <c r="R30" s="5" t="str">
        <f t="shared" ca="1" si="34"/>
        <v/>
      </c>
      <c r="S30" s="5" t="str">
        <f t="shared" ca="1" si="34"/>
        <v/>
      </c>
      <c r="T30" s="5" t="str">
        <f t="shared" ca="1" si="34"/>
        <v/>
      </c>
      <c r="U30" s="5" t="str">
        <f t="shared" ca="1" si="35"/>
        <v/>
      </c>
      <c r="V30" s="5" t="str">
        <f t="shared" ca="1" si="35"/>
        <v/>
      </c>
      <c r="W30" s="5" t="str">
        <f t="shared" ca="1" si="35"/>
        <v/>
      </c>
      <c r="X30" s="5" t="str">
        <f t="shared" ca="1" si="35"/>
        <v/>
      </c>
      <c r="Y30" s="5" t="str">
        <f t="shared" ca="1" si="35"/>
        <v/>
      </c>
      <c r="Z30" s="5" t="str">
        <f t="shared" ca="1" si="35"/>
        <v/>
      </c>
      <c r="AA30" s="5" t="str">
        <f t="shared" ca="1" si="35"/>
        <v/>
      </c>
      <c r="AB30" s="5" t="str">
        <f t="shared" ca="1" si="35"/>
        <v/>
      </c>
      <c r="AC30" s="5" t="str">
        <f t="shared" ca="1" si="35"/>
        <v/>
      </c>
      <c r="AD30" s="5" t="str">
        <f t="shared" ca="1" si="35"/>
        <v/>
      </c>
      <c r="AE30" s="5" t="str">
        <f t="shared" ca="1" si="36"/>
        <v/>
      </c>
      <c r="AF30" s="5" t="str">
        <f t="shared" ca="1" si="36"/>
        <v/>
      </c>
      <c r="AG30" s="5" t="str">
        <f t="shared" ca="1" si="36"/>
        <v/>
      </c>
      <c r="AH30" s="5" t="str">
        <f t="shared" ca="1" si="36"/>
        <v/>
      </c>
      <c r="AI30" s="5" t="str">
        <f t="shared" ca="1" si="36"/>
        <v/>
      </c>
      <c r="AJ30" s="5" t="str">
        <f t="shared" ca="1" si="36"/>
        <v/>
      </c>
      <c r="AK30" s="5" t="str">
        <f t="shared" ca="1" si="36"/>
        <v/>
      </c>
      <c r="AL30" s="5" t="str">
        <f t="shared" ca="1" si="36"/>
        <v/>
      </c>
      <c r="AM30" s="5" t="str">
        <f t="shared" ca="1" si="36"/>
        <v/>
      </c>
      <c r="AN30" s="5" t="str">
        <f t="shared" ca="1" si="36"/>
        <v/>
      </c>
      <c r="AO30" s="5" t="str">
        <f t="shared" ca="1" si="37"/>
        <v/>
      </c>
      <c r="AP30" s="5" t="str">
        <f t="shared" ca="1" si="37"/>
        <v/>
      </c>
      <c r="AQ30" s="5" t="str">
        <f t="shared" ca="1" si="37"/>
        <v/>
      </c>
      <c r="AR30" s="5" t="str">
        <f t="shared" ca="1" si="37"/>
        <v/>
      </c>
      <c r="AS30" s="5" t="str">
        <f t="shared" ca="1" si="37"/>
        <v/>
      </c>
      <c r="AT30" s="5" t="str">
        <f t="shared" ca="1" si="37"/>
        <v/>
      </c>
      <c r="AU30" s="5" t="str">
        <f t="shared" ca="1" si="37"/>
        <v/>
      </c>
      <c r="AV30" s="5" t="str">
        <f t="shared" ca="1" si="37"/>
        <v/>
      </c>
      <c r="AW30" s="5" t="str">
        <f t="shared" ca="1" si="37"/>
        <v/>
      </c>
      <c r="AX30" s="5" t="str">
        <f t="shared" ca="1" si="37"/>
        <v/>
      </c>
      <c r="AY30" s="5" t="str">
        <f t="shared" ca="1" si="38"/>
        <v/>
      </c>
      <c r="AZ30" s="5" t="str">
        <f t="shared" ca="1" si="38"/>
        <v/>
      </c>
      <c r="BA30" s="5" t="str">
        <f t="shared" ca="1" si="38"/>
        <v/>
      </c>
      <c r="BB30" s="5" t="str">
        <f t="shared" ca="1" si="38"/>
        <v/>
      </c>
      <c r="BC30" s="5" t="str">
        <f t="shared" ca="1" si="38"/>
        <v/>
      </c>
      <c r="BD30" s="5" t="str">
        <f t="shared" ca="1" si="38"/>
        <v/>
      </c>
      <c r="BE30" s="5" t="str">
        <f t="shared" ca="1" si="38"/>
        <v/>
      </c>
      <c r="BF30" s="5" t="str">
        <f t="shared" ca="1" si="38"/>
        <v/>
      </c>
      <c r="BG30" s="5" t="str">
        <f t="shared" ca="1" si="38"/>
        <v/>
      </c>
      <c r="BH30" s="5" t="str">
        <f t="shared" ca="1" si="38"/>
        <v/>
      </c>
      <c r="BI30" s="5" t="str">
        <f t="shared" ca="1" si="39"/>
        <v/>
      </c>
      <c r="BJ30" s="5" t="str">
        <f t="shared" ca="1" si="39"/>
        <v/>
      </c>
      <c r="BK30" s="5" t="str">
        <f t="shared" ca="1" si="39"/>
        <v/>
      </c>
      <c r="BL30" s="5" t="str">
        <f t="shared" ca="1" si="39"/>
        <v/>
      </c>
      <c r="BM30" s="5" t="str">
        <f t="shared" ca="1" si="39"/>
        <v/>
      </c>
      <c r="BN30" s="5" t="str">
        <f t="shared" ca="1" si="39"/>
        <v/>
      </c>
      <c r="BO30" s="5" t="str">
        <f t="shared" ca="1" si="40"/>
        <v/>
      </c>
      <c r="BP30" s="5" t="str">
        <f t="shared" ca="1" si="40"/>
        <v/>
      </c>
      <c r="BQ30" s="5" t="str">
        <f t="shared" ca="1" si="40"/>
        <v/>
      </c>
      <c r="BR30" s="5" t="str">
        <f t="shared" ca="1" si="40"/>
        <v/>
      </c>
      <c r="BS30" s="5" t="str">
        <f t="shared" ca="1" si="40"/>
        <v/>
      </c>
      <c r="BT30" s="5" t="str">
        <f t="shared" ca="1" si="40"/>
        <v/>
      </c>
      <c r="BU30" s="5" t="str">
        <f t="shared" ca="1" si="40"/>
        <v/>
      </c>
      <c r="BV30" s="5" t="str">
        <f t="shared" ca="1" si="40"/>
        <v/>
      </c>
      <c r="BW30" s="5" t="str">
        <f t="shared" ca="1" si="40"/>
        <v/>
      </c>
      <c r="BX30" s="5" t="str">
        <f t="shared" ca="1" si="40"/>
        <v/>
      </c>
      <c r="BY30" s="5" t="str">
        <f t="shared" ca="1" si="40"/>
        <v/>
      </c>
      <c r="BZ30" s="5" t="str">
        <f t="shared" ca="1" si="40"/>
        <v/>
      </c>
      <c r="CA30" s="5" t="str">
        <f t="shared" ca="1" si="40"/>
        <v/>
      </c>
      <c r="CB30" s="5" t="str">
        <f t="shared" ca="1" si="40"/>
        <v/>
      </c>
      <c r="CC30" s="5" t="str">
        <f t="shared" ca="1" si="40"/>
        <v/>
      </c>
      <c r="CD30" s="5" t="str">
        <f t="shared" ca="1" si="40"/>
        <v/>
      </c>
      <c r="CE30" s="5" t="str">
        <f t="shared" ca="1" si="40"/>
        <v/>
      </c>
      <c r="CF30" s="5" t="str">
        <f t="shared" ca="1" si="40"/>
        <v/>
      </c>
      <c r="CG30" s="5" t="str">
        <f t="shared" ca="1" si="40"/>
        <v/>
      </c>
      <c r="CH30" s="5" t="str">
        <f t="shared" ca="1" si="40"/>
        <v/>
      </c>
      <c r="CI30" s="5" t="str">
        <f t="shared" ca="1" si="40"/>
        <v/>
      </c>
      <c r="CJ30" s="5" t="str">
        <f t="shared" ca="1" si="40"/>
        <v/>
      </c>
      <c r="CK30" s="5" t="str">
        <f t="shared" ca="1" si="40"/>
        <v/>
      </c>
      <c r="CL30" s="5" t="str">
        <f t="shared" ca="1" si="40"/>
        <v/>
      </c>
      <c r="CM30" s="5" t="str">
        <f t="shared" ca="1" si="40"/>
        <v/>
      </c>
      <c r="CN30" s="5" t="str">
        <f t="shared" ca="1" si="40"/>
        <v/>
      </c>
      <c r="CO30" s="5" t="str">
        <f t="shared" ca="1" si="40"/>
        <v/>
      </c>
      <c r="CP30" s="5" t="str">
        <f t="shared" ca="1" si="40"/>
        <v/>
      </c>
      <c r="CQ30" s="5" t="str">
        <f t="shared" ca="1" si="40"/>
        <v/>
      </c>
      <c r="CR30" s="5" t="str">
        <f t="shared" ca="1" si="40"/>
        <v/>
      </c>
      <c r="CS30" s="5" t="str">
        <f t="shared" ca="1" si="40"/>
        <v/>
      </c>
      <c r="CT30" s="5" t="str">
        <f t="shared" ca="1" si="40"/>
        <v/>
      </c>
      <c r="CU30" s="5" t="str">
        <f t="shared" ca="1" si="33"/>
        <v/>
      </c>
      <c r="CV30" s="5" t="str">
        <f t="shared" ca="1" si="33"/>
        <v/>
      </c>
      <c r="CW30" s="5" t="str">
        <f t="shared" ca="1" si="33"/>
        <v/>
      </c>
      <c r="CX30" s="5" t="str">
        <f t="shared" ca="1" si="33"/>
        <v/>
      </c>
      <c r="CY30" s="5" t="str">
        <f t="shared" ca="1" si="33"/>
        <v/>
      </c>
      <c r="CZ30" s="5" t="str">
        <f t="shared" ca="1" si="33"/>
        <v/>
      </c>
      <c r="DA30" s="5" t="str">
        <f t="shared" ca="1" si="33"/>
        <v/>
      </c>
      <c r="DB30" s="5" t="str">
        <f t="shared" ca="1" si="33"/>
        <v/>
      </c>
    </row>
    <row r="31" spans="1:106" s="1" customFormat="1" ht="40.15" customHeight="1" x14ac:dyDescent="0.25">
      <c r="A31" s="3"/>
      <c r="B31" s="41" t="s">
        <v>41</v>
      </c>
      <c r="C31" s="34" t="s">
        <v>5</v>
      </c>
      <c r="D31" s="34" t="s">
        <v>37</v>
      </c>
      <c r="E31" s="50">
        <v>1</v>
      </c>
      <c r="F31" s="40">
        <v>45964</v>
      </c>
      <c r="G31" s="57">
        <v>2</v>
      </c>
      <c r="H31" s="32" t="s">
        <v>62</v>
      </c>
      <c r="I31" s="32" t="s">
        <v>67</v>
      </c>
      <c r="J31" s="7"/>
      <c r="K31" s="5" t="str">
        <f t="shared" ca="1" si="34"/>
        <v/>
      </c>
      <c r="L31" s="5" t="str">
        <f t="shared" ca="1" si="34"/>
        <v/>
      </c>
      <c r="M31" s="5" t="str">
        <f t="shared" ca="1" si="34"/>
        <v/>
      </c>
      <c r="N31" s="5" t="str">
        <f t="shared" ca="1" si="34"/>
        <v/>
      </c>
      <c r="O31" s="5" t="str">
        <f t="shared" ca="1" si="34"/>
        <v/>
      </c>
      <c r="P31" s="5" t="str">
        <f t="shared" ca="1" si="34"/>
        <v/>
      </c>
      <c r="Q31" s="5" t="str">
        <f t="shared" ca="1" si="34"/>
        <v/>
      </c>
      <c r="R31" s="5" t="str">
        <f t="shared" ca="1" si="34"/>
        <v/>
      </c>
      <c r="S31" s="5" t="str">
        <f t="shared" ca="1" si="34"/>
        <v/>
      </c>
      <c r="T31" s="5" t="str">
        <f t="shared" ca="1" si="34"/>
        <v/>
      </c>
      <c r="U31" s="5" t="str">
        <f t="shared" ca="1" si="35"/>
        <v/>
      </c>
      <c r="V31" s="5" t="str">
        <f t="shared" ca="1" si="35"/>
        <v/>
      </c>
      <c r="W31" s="5" t="str">
        <f t="shared" ca="1" si="35"/>
        <v/>
      </c>
      <c r="X31" s="5" t="str">
        <f t="shared" ca="1" si="35"/>
        <v/>
      </c>
      <c r="Y31" s="5" t="str">
        <f t="shared" ca="1" si="35"/>
        <v/>
      </c>
      <c r="Z31" s="5" t="str">
        <f t="shared" ca="1" si="35"/>
        <v/>
      </c>
      <c r="AA31" s="5" t="str">
        <f t="shared" ca="1" si="35"/>
        <v/>
      </c>
      <c r="AB31" s="5" t="str">
        <f t="shared" ca="1" si="35"/>
        <v/>
      </c>
      <c r="AC31" s="5" t="str">
        <f t="shared" ca="1" si="35"/>
        <v/>
      </c>
      <c r="AD31" s="5" t="str">
        <f t="shared" ca="1" si="35"/>
        <v/>
      </c>
      <c r="AE31" s="5" t="str">
        <f t="shared" ca="1" si="36"/>
        <v/>
      </c>
      <c r="AF31" s="5" t="str">
        <f t="shared" ca="1" si="36"/>
        <v/>
      </c>
      <c r="AG31" s="5" t="str">
        <f t="shared" ca="1" si="36"/>
        <v/>
      </c>
      <c r="AH31" s="5" t="str">
        <f t="shared" ca="1" si="36"/>
        <v/>
      </c>
      <c r="AI31" s="5" t="str">
        <f t="shared" ca="1" si="36"/>
        <v/>
      </c>
      <c r="AJ31" s="5" t="str">
        <f t="shared" ca="1" si="36"/>
        <v/>
      </c>
      <c r="AK31" s="5" t="str">
        <f t="shared" ca="1" si="36"/>
        <v/>
      </c>
      <c r="AL31" s="5" t="str">
        <f t="shared" ca="1" si="36"/>
        <v/>
      </c>
      <c r="AM31" s="5" t="str">
        <f t="shared" ca="1" si="36"/>
        <v/>
      </c>
      <c r="AN31" s="5" t="str">
        <f t="shared" ca="1" si="36"/>
        <v/>
      </c>
      <c r="AO31" s="5" t="str">
        <f t="shared" ca="1" si="37"/>
        <v/>
      </c>
      <c r="AP31" s="5" t="str">
        <f t="shared" ca="1" si="37"/>
        <v/>
      </c>
      <c r="AQ31" s="5" t="str">
        <f t="shared" ca="1" si="37"/>
        <v/>
      </c>
      <c r="AR31" s="5" t="str">
        <f t="shared" ca="1" si="37"/>
        <v/>
      </c>
      <c r="AS31" s="5" t="str">
        <f t="shared" ca="1" si="37"/>
        <v/>
      </c>
      <c r="AT31" s="5" t="str">
        <f t="shared" ca="1" si="37"/>
        <v/>
      </c>
      <c r="AU31" s="5" t="str">
        <f t="shared" ca="1" si="37"/>
        <v/>
      </c>
      <c r="AV31" s="5" t="str">
        <f t="shared" ca="1" si="37"/>
        <v/>
      </c>
      <c r="AW31" s="5" t="str">
        <f t="shared" ca="1" si="37"/>
        <v/>
      </c>
      <c r="AX31" s="5" t="str">
        <f t="shared" ca="1" si="37"/>
        <v/>
      </c>
      <c r="AY31" s="5" t="str">
        <f t="shared" ca="1" si="38"/>
        <v/>
      </c>
      <c r="AZ31" s="5" t="str">
        <f t="shared" ca="1" si="38"/>
        <v/>
      </c>
      <c r="BA31" s="5" t="str">
        <f t="shared" ca="1" si="38"/>
        <v/>
      </c>
      <c r="BB31" s="5" t="str">
        <f t="shared" ca="1" si="38"/>
        <v/>
      </c>
      <c r="BC31" s="5" t="str">
        <f t="shared" ca="1" si="38"/>
        <v/>
      </c>
      <c r="BD31" s="5" t="str">
        <f t="shared" ca="1" si="38"/>
        <v/>
      </c>
      <c r="BE31" s="5" t="str">
        <f t="shared" ca="1" si="38"/>
        <v/>
      </c>
      <c r="BF31" s="5" t="str">
        <f t="shared" ca="1" si="38"/>
        <v/>
      </c>
      <c r="BG31" s="5" t="str">
        <f t="shared" ca="1" si="38"/>
        <v/>
      </c>
      <c r="BH31" s="5" t="str">
        <f t="shared" ca="1" si="38"/>
        <v/>
      </c>
      <c r="BI31" s="5" t="str">
        <f t="shared" ca="1" si="39"/>
        <v/>
      </c>
      <c r="BJ31" s="5" t="str">
        <f t="shared" ca="1" si="39"/>
        <v/>
      </c>
      <c r="BK31" s="5" t="str">
        <f t="shared" ca="1" si="39"/>
        <v/>
      </c>
      <c r="BL31" s="5" t="str">
        <f t="shared" ca="1" si="39"/>
        <v/>
      </c>
      <c r="BM31" s="5" t="str">
        <f t="shared" ca="1" si="39"/>
        <v/>
      </c>
      <c r="BN31" s="5" t="str">
        <f t="shared" ca="1" si="39"/>
        <v/>
      </c>
      <c r="BO31" s="5" t="str">
        <f t="shared" ca="1" si="40"/>
        <v/>
      </c>
      <c r="BP31" s="5" t="str">
        <f t="shared" ca="1" si="40"/>
        <v/>
      </c>
      <c r="BQ31" s="5" t="str">
        <f t="shared" ca="1" si="40"/>
        <v/>
      </c>
      <c r="BR31" s="5" t="str">
        <f t="shared" ca="1" si="40"/>
        <v/>
      </c>
      <c r="BS31" s="5" t="str">
        <f t="shared" ca="1" si="40"/>
        <v/>
      </c>
      <c r="BT31" s="5" t="str">
        <f t="shared" ca="1" si="40"/>
        <v/>
      </c>
      <c r="BU31" s="5" t="str">
        <f t="shared" ca="1" si="40"/>
        <v/>
      </c>
      <c r="BV31" s="5" t="str">
        <f t="shared" ca="1" si="40"/>
        <v/>
      </c>
      <c r="BW31" s="5" t="str">
        <f t="shared" ca="1" si="40"/>
        <v/>
      </c>
      <c r="BX31" s="5" t="str">
        <f t="shared" ca="1" si="40"/>
        <v/>
      </c>
      <c r="BY31" s="5" t="str">
        <f t="shared" ca="1" si="40"/>
        <v/>
      </c>
      <c r="BZ31" s="5" t="str">
        <f t="shared" ca="1" si="40"/>
        <v/>
      </c>
      <c r="CA31" s="5" t="str">
        <f t="shared" ca="1" si="40"/>
        <v/>
      </c>
      <c r="CB31" s="5" t="str">
        <f t="shared" ca="1" si="40"/>
        <v/>
      </c>
      <c r="CC31" s="5" t="str">
        <f t="shared" ca="1" si="40"/>
        <v/>
      </c>
      <c r="CD31" s="5" t="str">
        <f t="shared" ca="1" si="40"/>
        <v/>
      </c>
      <c r="CE31" s="5" t="str">
        <f t="shared" ca="1" si="40"/>
        <v/>
      </c>
      <c r="CF31" s="5" t="str">
        <f t="shared" ca="1" si="40"/>
        <v/>
      </c>
      <c r="CG31" s="5" t="str">
        <f t="shared" ca="1" si="40"/>
        <v/>
      </c>
      <c r="CH31" s="5" t="str">
        <f t="shared" ca="1" si="40"/>
        <v/>
      </c>
      <c r="CI31" s="5" t="str">
        <f t="shared" ca="1" si="40"/>
        <v/>
      </c>
      <c r="CJ31" s="5" t="str">
        <f t="shared" ca="1" si="40"/>
        <v/>
      </c>
      <c r="CK31" s="5" t="str">
        <f t="shared" ca="1" si="40"/>
        <v/>
      </c>
      <c r="CL31" s="5" t="str">
        <f t="shared" ca="1" si="40"/>
        <v/>
      </c>
      <c r="CM31" s="5" t="str">
        <f t="shared" ca="1" si="40"/>
        <v/>
      </c>
      <c r="CN31" s="5" t="str">
        <f t="shared" ca="1" si="40"/>
        <v/>
      </c>
      <c r="CO31" s="5" t="str">
        <f t="shared" ca="1" si="40"/>
        <v/>
      </c>
      <c r="CP31" s="5" t="str">
        <f t="shared" ca="1" si="40"/>
        <v/>
      </c>
      <c r="CQ31" s="5" t="str">
        <f t="shared" ca="1" si="40"/>
        <v/>
      </c>
      <c r="CR31" s="5" t="str">
        <f t="shared" ca="1" si="40"/>
        <v/>
      </c>
      <c r="CS31" s="5" t="str">
        <f t="shared" ca="1" si="40"/>
        <v/>
      </c>
      <c r="CT31" s="5" t="str">
        <f t="shared" ca="1" si="40"/>
        <v/>
      </c>
      <c r="CU31" s="5" t="str">
        <f t="shared" ca="1" si="33"/>
        <v/>
      </c>
      <c r="CV31" s="5" t="str">
        <f t="shared" ca="1" si="33"/>
        <v/>
      </c>
      <c r="CW31" s="5" t="str">
        <f t="shared" ca="1" si="33"/>
        <v/>
      </c>
      <c r="CX31" s="5" t="str">
        <f t="shared" ca="1" si="33"/>
        <v/>
      </c>
      <c r="CY31" s="5" t="str">
        <f t="shared" ca="1" si="33"/>
        <v/>
      </c>
      <c r="CZ31" s="5" t="str">
        <f t="shared" ca="1" si="33"/>
        <v/>
      </c>
      <c r="DA31" s="5" t="str">
        <f t="shared" ca="1" si="33"/>
        <v/>
      </c>
      <c r="DB31" s="5" t="str">
        <f t="shared" ca="1" si="33"/>
        <v/>
      </c>
    </row>
    <row r="32" spans="1:106" s="1" customFormat="1" ht="40.15" customHeight="1" x14ac:dyDescent="0.25">
      <c r="A32" s="3"/>
      <c r="B32" s="41" t="s">
        <v>42</v>
      </c>
      <c r="C32" s="34" t="s">
        <v>4</v>
      </c>
      <c r="D32" s="34" t="s">
        <v>70</v>
      </c>
      <c r="E32" s="50">
        <v>1</v>
      </c>
      <c r="F32" s="40">
        <v>45965</v>
      </c>
      <c r="G32" s="57">
        <v>2</v>
      </c>
      <c r="H32" s="32" t="s">
        <v>63</v>
      </c>
      <c r="I32" s="32" t="s">
        <v>68</v>
      </c>
      <c r="J32" s="7"/>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t="str">
        <f t="shared" ca="1" si="40"/>
        <v/>
      </c>
      <c r="BP32" s="5" t="str">
        <f t="shared" ca="1" si="40"/>
        <v/>
      </c>
      <c r="BQ32" s="5" t="str">
        <f t="shared" ca="1" si="40"/>
        <v/>
      </c>
      <c r="BR32" s="5" t="str">
        <f t="shared" ca="1" si="40"/>
        <v/>
      </c>
      <c r="BS32" s="5" t="str">
        <f t="shared" ca="1" si="40"/>
        <v/>
      </c>
      <c r="BT32" s="5" t="str">
        <f t="shared" ca="1" si="40"/>
        <v/>
      </c>
      <c r="BU32" s="5" t="str">
        <f t="shared" ca="1" si="40"/>
        <v/>
      </c>
      <c r="BV32" s="5" t="str">
        <f t="shared" ca="1" si="40"/>
        <v/>
      </c>
      <c r="BW32" s="5" t="str">
        <f t="shared" ca="1" si="40"/>
        <v/>
      </c>
      <c r="BX32" s="5" t="str">
        <f t="shared" ca="1" si="40"/>
        <v/>
      </c>
      <c r="BY32" s="5" t="str">
        <f t="shared" ca="1" si="40"/>
        <v/>
      </c>
      <c r="BZ32" s="5" t="str">
        <f t="shared" ca="1" si="40"/>
        <v/>
      </c>
      <c r="CA32" s="5" t="str">
        <f t="shared" ca="1" si="40"/>
        <v/>
      </c>
      <c r="CB32" s="5" t="str">
        <f t="shared" ca="1" si="40"/>
        <v/>
      </c>
      <c r="CC32" s="5" t="str">
        <f t="shared" ca="1" si="40"/>
        <v/>
      </c>
      <c r="CD32" s="5" t="str">
        <f t="shared" ca="1" si="40"/>
        <v/>
      </c>
      <c r="CE32" s="5" t="str">
        <f t="shared" ca="1" si="40"/>
        <v/>
      </c>
      <c r="CF32" s="5" t="str">
        <f t="shared" ca="1" si="40"/>
        <v/>
      </c>
      <c r="CG32" s="5" t="str">
        <f t="shared" ca="1" si="40"/>
        <v/>
      </c>
      <c r="CH32" s="5" t="str">
        <f t="shared" ca="1" si="40"/>
        <v/>
      </c>
      <c r="CI32" s="5" t="str">
        <f t="shared" ca="1" si="40"/>
        <v/>
      </c>
      <c r="CJ32" s="5" t="str">
        <f t="shared" ca="1" si="40"/>
        <v/>
      </c>
      <c r="CK32" s="5" t="str">
        <f t="shared" ca="1" si="40"/>
        <v/>
      </c>
      <c r="CL32" s="5" t="str">
        <f t="shared" ca="1" si="40"/>
        <v/>
      </c>
      <c r="CM32" s="5" t="str">
        <f t="shared" ca="1" si="40"/>
        <v/>
      </c>
      <c r="CN32" s="5" t="str">
        <f t="shared" ca="1" si="40"/>
        <v/>
      </c>
      <c r="CO32" s="5" t="str">
        <f t="shared" ca="1" si="40"/>
        <v/>
      </c>
      <c r="CP32" s="5" t="str">
        <f t="shared" ca="1" si="40"/>
        <v/>
      </c>
      <c r="CQ32" s="5" t="str">
        <f t="shared" ca="1" si="40"/>
        <v/>
      </c>
      <c r="CR32" s="5" t="str">
        <f t="shared" ca="1" si="40"/>
        <v/>
      </c>
      <c r="CS32" s="5" t="str">
        <f t="shared" ca="1" si="40"/>
        <v/>
      </c>
      <c r="CT32" s="5" t="str">
        <f t="shared" ca="1" si="40"/>
        <v/>
      </c>
      <c r="CU32" s="5" t="str">
        <f t="shared" ca="1" si="33"/>
        <v/>
      </c>
      <c r="CV32" s="5" t="str">
        <f t="shared" ca="1" si="33"/>
        <v/>
      </c>
      <c r="CW32" s="5" t="str">
        <f t="shared" ca="1" si="33"/>
        <v/>
      </c>
      <c r="CX32" s="5" t="str">
        <f t="shared" ca="1" si="33"/>
        <v/>
      </c>
      <c r="CY32" s="5" t="str">
        <f t="shared" ca="1" si="33"/>
        <v/>
      </c>
      <c r="CZ32" s="5" t="str">
        <f t="shared" ca="1" si="33"/>
        <v/>
      </c>
      <c r="DA32" s="5" t="str">
        <f t="shared" ca="1" si="33"/>
        <v/>
      </c>
      <c r="DB32" s="5" t="str">
        <f t="shared" ca="1" si="33"/>
        <v/>
      </c>
    </row>
    <row r="33" spans="1:106" s="1" customFormat="1" ht="40.15" customHeight="1" x14ac:dyDescent="0.25">
      <c r="A33" s="3"/>
      <c r="B33" s="41"/>
      <c r="C33" s="34"/>
      <c r="D33" s="34"/>
      <c r="E33" s="50"/>
      <c r="F33" s="40"/>
      <c r="G33" s="57"/>
      <c r="H33" s="29"/>
      <c r="I33" s="29"/>
      <c r="J33" s="7"/>
      <c r="K33" s="5" t="str">
        <f t="shared" ref="K33:AP33" ca="1" si="41">IF(AND($C33="Objetivo",K$8&gt;=$F33,K$8&lt;=$F33+$G33-1),2,IF(AND($C33="Hito",K$8&gt;=$F33,K$8&lt;=$F33+$G33-1),1,""))</f>
        <v/>
      </c>
      <c r="L33" s="5" t="str">
        <f t="shared" ca="1" si="41"/>
        <v/>
      </c>
      <c r="M33" s="5" t="str">
        <f t="shared" ca="1" si="41"/>
        <v/>
      </c>
      <c r="N33" s="5" t="str">
        <f t="shared" ca="1" si="41"/>
        <v/>
      </c>
      <c r="O33" s="5" t="str">
        <f t="shared" ca="1" si="41"/>
        <v/>
      </c>
      <c r="P33" s="5" t="str">
        <f t="shared" ca="1" si="41"/>
        <v/>
      </c>
      <c r="Q33" s="5" t="str">
        <f t="shared" ca="1" si="41"/>
        <v/>
      </c>
      <c r="R33" s="5" t="str">
        <f t="shared" ca="1" si="41"/>
        <v/>
      </c>
      <c r="S33" s="5" t="str">
        <f t="shared" ca="1" si="41"/>
        <v/>
      </c>
      <c r="T33" s="5" t="str">
        <f t="shared" ca="1" si="41"/>
        <v/>
      </c>
      <c r="U33" s="5" t="str">
        <f t="shared" ca="1" si="41"/>
        <v/>
      </c>
      <c r="V33" s="5" t="str">
        <f t="shared" ca="1" si="41"/>
        <v/>
      </c>
      <c r="W33" s="5" t="str">
        <f t="shared" ca="1" si="41"/>
        <v/>
      </c>
      <c r="X33" s="5" t="str">
        <f t="shared" ca="1" si="41"/>
        <v/>
      </c>
      <c r="Y33" s="5" t="str">
        <f t="shared" ca="1" si="41"/>
        <v/>
      </c>
      <c r="Z33" s="5" t="str">
        <f t="shared" ca="1" si="41"/>
        <v/>
      </c>
      <c r="AA33" s="5" t="str">
        <f t="shared" ca="1" si="41"/>
        <v/>
      </c>
      <c r="AB33" s="5" t="str">
        <f t="shared" ca="1" si="41"/>
        <v/>
      </c>
      <c r="AC33" s="5" t="str">
        <f t="shared" ca="1" si="41"/>
        <v/>
      </c>
      <c r="AD33" s="5" t="str">
        <f t="shared" ca="1" si="41"/>
        <v/>
      </c>
      <c r="AE33" s="5" t="str">
        <f t="shared" ca="1" si="41"/>
        <v/>
      </c>
      <c r="AF33" s="5" t="str">
        <f t="shared" ca="1" si="41"/>
        <v/>
      </c>
      <c r="AG33" s="5" t="str">
        <f t="shared" ca="1" si="41"/>
        <v/>
      </c>
      <c r="AH33" s="5" t="str">
        <f t="shared" ca="1" si="41"/>
        <v/>
      </c>
      <c r="AI33" s="5" t="str">
        <f t="shared" ca="1" si="41"/>
        <v/>
      </c>
      <c r="AJ33" s="5" t="str">
        <f t="shared" ca="1" si="41"/>
        <v/>
      </c>
      <c r="AK33" s="5" t="str">
        <f t="shared" ca="1" si="41"/>
        <v/>
      </c>
      <c r="AL33" s="5" t="str">
        <f t="shared" ca="1" si="41"/>
        <v/>
      </c>
      <c r="AM33" s="5" t="str">
        <f t="shared" ca="1" si="41"/>
        <v/>
      </c>
      <c r="AN33" s="5" t="str">
        <f t="shared" ca="1" si="41"/>
        <v/>
      </c>
      <c r="AO33" s="5" t="str">
        <f t="shared" ca="1" si="41"/>
        <v/>
      </c>
      <c r="AP33" s="5" t="str">
        <f t="shared" ca="1" si="41"/>
        <v/>
      </c>
      <c r="AQ33" s="5" t="str">
        <f t="shared" ref="AQ33:BN33" ca="1" si="42">IF(AND($C33="Objetivo",AQ$8&gt;=$F33,AQ$8&lt;=$F33+$G33-1),2,IF(AND($C33="Hito",AQ$8&gt;=$F33,AQ$8&lt;=$F33+$G33-1),1,""))</f>
        <v/>
      </c>
      <c r="AR33" s="5" t="str">
        <f t="shared" ca="1" si="42"/>
        <v/>
      </c>
      <c r="AS33" s="5" t="str">
        <f t="shared" ca="1" si="42"/>
        <v/>
      </c>
      <c r="AT33" s="5" t="str">
        <f t="shared" ca="1" si="42"/>
        <v/>
      </c>
      <c r="AU33" s="5" t="str">
        <f t="shared" ca="1" si="42"/>
        <v/>
      </c>
      <c r="AV33" s="5" t="str">
        <f t="shared" ca="1" si="42"/>
        <v/>
      </c>
      <c r="AW33" s="5" t="str">
        <f t="shared" ca="1" si="42"/>
        <v/>
      </c>
      <c r="AX33" s="5" t="str">
        <f t="shared" ca="1" si="42"/>
        <v/>
      </c>
      <c r="AY33" s="5" t="str">
        <f t="shared" ca="1" si="42"/>
        <v/>
      </c>
      <c r="AZ33" s="5" t="str">
        <f t="shared" ca="1" si="42"/>
        <v/>
      </c>
      <c r="BA33" s="5" t="str">
        <f t="shared" ca="1" si="42"/>
        <v/>
      </c>
      <c r="BB33" s="5" t="str">
        <f t="shared" ca="1" si="42"/>
        <v/>
      </c>
      <c r="BC33" s="5" t="str">
        <f t="shared" ca="1" si="42"/>
        <v/>
      </c>
      <c r="BD33" s="5" t="str">
        <f t="shared" ca="1" si="42"/>
        <v/>
      </c>
      <c r="BE33" s="5" t="str">
        <f t="shared" ca="1" si="42"/>
        <v/>
      </c>
      <c r="BF33" s="5" t="str">
        <f t="shared" ca="1" si="42"/>
        <v/>
      </c>
      <c r="BG33" s="5" t="str">
        <f t="shared" ca="1" si="42"/>
        <v/>
      </c>
      <c r="BH33" s="5" t="str">
        <f t="shared" ca="1" si="42"/>
        <v/>
      </c>
      <c r="BI33" s="5" t="str">
        <f t="shared" ca="1" si="42"/>
        <v/>
      </c>
      <c r="BJ33" s="5" t="str">
        <f t="shared" ca="1" si="42"/>
        <v/>
      </c>
      <c r="BK33" s="5" t="str">
        <f t="shared" ca="1" si="42"/>
        <v/>
      </c>
      <c r="BL33" s="5" t="str">
        <f t="shared" ca="1" si="42"/>
        <v/>
      </c>
      <c r="BM33" s="5" t="str">
        <f t="shared" ca="1" si="42"/>
        <v/>
      </c>
      <c r="BN33" s="5" t="str">
        <f t="shared" ca="1" si="42"/>
        <v/>
      </c>
      <c r="BO33" s="5" t="str">
        <f t="shared" ca="1" si="40"/>
        <v/>
      </c>
      <c r="BP33" s="5" t="str">
        <f t="shared" ca="1" si="40"/>
        <v/>
      </c>
      <c r="BQ33" s="5" t="str">
        <f t="shared" ca="1" si="40"/>
        <v/>
      </c>
      <c r="BR33" s="5" t="str">
        <f t="shared" ca="1" si="40"/>
        <v/>
      </c>
      <c r="BS33" s="5" t="str">
        <f t="shared" ca="1" si="40"/>
        <v/>
      </c>
      <c r="BT33" s="5" t="str">
        <f t="shared" ca="1" si="40"/>
        <v/>
      </c>
      <c r="BU33" s="5" t="str">
        <f t="shared" ca="1" si="40"/>
        <v/>
      </c>
      <c r="BV33" s="5" t="str">
        <f t="shared" ca="1" si="40"/>
        <v/>
      </c>
      <c r="BW33" s="5" t="str">
        <f t="shared" ca="1" si="40"/>
        <v/>
      </c>
      <c r="BX33" s="5" t="str">
        <f t="shared" ca="1" si="40"/>
        <v/>
      </c>
      <c r="BY33" s="5" t="str">
        <f t="shared" ca="1" si="40"/>
        <v/>
      </c>
      <c r="BZ33" s="5" t="str">
        <f t="shared" ca="1" si="40"/>
        <v/>
      </c>
      <c r="CA33" s="5" t="str">
        <f t="shared" ca="1" si="40"/>
        <v/>
      </c>
      <c r="CB33" s="5" t="str">
        <f t="shared" ca="1" si="40"/>
        <v/>
      </c>
      <c r="CC33" s="5" t="str">
        <f t="shared" ca="1" si="40"/>
        <v/>
      </c>
      <c r="CD33" s="5" t="str">
        <f t="shared" ca="1" si="40"/>
        <v/>
      </c>
      <c r="CE33" s="5" t="str">
        <f t="shared" ca="1" si="40"/>
        <v/>
      </c>
      <c r="CF33" s="5" t="str">
        <f t="shared" ca="1" si="40"/>
        <v/>
      </c>
      <c r="CG33" s="5" t="str">
        <f t="shared" ca="1" si="40"/>
        <v/>
      </c>
      <c r="CH33" s="5" t="str">
        <f t="shared" ca="1" si="40"/>
        <v/>
      </c>
      <c r="CI33" s="5" t="str">
        <f t="shared" ca="1" si="40"/>
        <v/>
      </c>
      <c r="CJ33" s="5" t="str">
        <f t="shared" ca="1" si="40"/>
        <v/>
      </c>
      <c r="CK33" s="5" t="str">
        <f t="shared" ca="1" si="40"/>
        <v/>
      </c>
      <c r="CL33" s="5" t="str">
        <f t="shared" ca="1" si="40"/>
        <v/>
      </c>
      <c r="CM33" s="5" t="str">
        <f t="shared" ca="1" si="40"/>
        <v/>
      </c>
      <c r="CN33" s="5" t="str">
        <f t="shared" ca="1" si="40"/>
        <v/>
      </c>
      <c r="CO33" s="5" t="str">
        <f t="shared" ca="1" si="40"/>
        <v/>
      </c>
      <c r="CP33" s="5" t="str">
        <f t="shared" ca="1" si="40"/>
        <v/>
      </c>
      <c r="CQ33" s="5" t="str">
        <f t="shared" ca="1" si="40"/>
        <v/>
      </c>
      <c r="CR33" s="5" t="str">
        <f t="shared" ca="1" si="40"/>
        <v/>
      </c>
      <c r="CS33" s="5" t="str">
        <f t="shared" ca="1" si="40"/>
        <v/>
      </c>
      <c r="CT33" s="5" t="str">
        <f t="shared" ca="1" si="40"/>
        <v/>
      </c>
      <c r="CU33" s="5" t="str">
        <f t="shared" ca="1" si="33"/>
        <v/>
      </c>
      <c r="CV33" s="5" t="str">
        <f t="shared" ca="1" si="33"/>
        <v/>
      </c>
      <c r="CW33" s="5" t="str">
        <f t="shared" ca="1" si="33"/>
        <v/>
      </c>
      <c r="CX33" s="5" t="str">
        <f t="shared" ca="1" si="33"/>
        <v/>
      </c>
      <c r="CY33" s="5" t="str">
        <f t="shared" ca="1" si="33"/>
        <v/>
      </c>
      <c r="CZ33" s="5" t="str">
        <f t="shared" ca="1" si="33"/>
        <v/>
      </c>
      <c r="DA33" s="5" t="str">
        <f t="shared" ca="1" si="33"/>
        <v/>
      </c>
      <c r="DB33" s="5" t="str">
        <f t="shared" ca="1" si="33"/>
        <v/>
      </c>
    </row>
    <row r="34" spans="1:106" s="1" customFormat="1" ht="15" x14ac:dyDescent="0.25">
      <c r="A34" s="3"/>
      <c r="B34" s="41"/>
      <c r="C34" s="34"/>
      <c r="D34" s="34"/>
      <c r="E34" s="50"/>
      <c r="F34" s="40"/>
      <c r="G34" s="57"/>
      <c r="H34" s="29"/>
      <c r="I34" s="29"/>
      <c r="J34" s="7"/>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t="str">
        <f t="shared" ca="1" si="40"/>
        <v/>
      </c>
      <c r="BP34" s="5" t="str">
        <f t="shared" ca="1" si="40"/>
        <v/>
      </c>
      <c r="BQ34" s="5" t="str">
        <f t="shared" ca="1" si="40"/>
        <v/>
      </c>
      <c r="BR34" s="5" t="str">
        <f t="shared" ca="1" si="40"/>
        <v/>
      </c>
      <c r="BS34" s="5" t="str">
        <f t="shared" ca="1" si="40"/>
        <v/>
      </c>
      <c r="BT34" s="5" t="str">
        <f t="shared" ca="1" si="40"/>
        <v/>
      </c>
      <c r="BU34" s="5" t="str">
        <f t="shared" ca="1" si="40"/>
        <v/>
      </c>
      <c r="BV34" s="5" t="str">
        <f t="shared" ca="1" si="40"/>
        <v/>
      </c>
      <c r="BW34" s="5" t="str">
        <f t="shared" ca="1" si="40"/>
        <v/>
      </c>
      <c r="BX34" s="5" t="str">
        <f t="shared" ca="1" si="40"/>
        <v/>
      </c>
      <c r="BY34" s="5" t="str">
        <f t="shared" ca="1" si="40"/>
        <v/>
      </c>
      <c r="BZ34" s="5" t="str">
        <f t="shared" ca="1" si="40"/>
        <v/>
      </c>
      <c r="CA34" s="5" t="str">
        <f t="shared" ca="1" si="40"/>
        <v/>
      </c>
      <c r="CB34" s="5" t="str">
        <f t="shared" ca="1" si="40"/>
        <v/>
      </c>
      <c r="CC34" s="5" t="str">
        <f t="shared" ca="1" si="40"/>
        <v/>
      </c>
      <c r="CD34" s="5" t="str">
        <f t="shared" ca="1" si="40"/>
        <v/>
      </c>
      <c r="CE34" s="5" t="str">
        <f t="shared" ca="1" si="40"/>
        <v/>
      </c>
      <c r="CF34" s="5" t="str">
        <f t="shared" ca="1" si="40"/>
        <v/>
      </c>
      <c r="CG34" s="5" t="str">
        <f t="shared" ca="1" si="40"/>
        <v/>
      </c>
      <c r="CH34" s="5" t="str">
        <f t="shared" ca="1" si="40"/>
        <v/>
      </c>
      <c r="CI34" s="5" t="str">
        <f t="shared" ca="1" si="40"/>
        <v/>
      </c>
      <c r="CJ34" s="5" t="str">
        <f t="shared" ca="1" si="40"/>
        <v/>
      </c>
      <c r="CK34" s="5" t="str">
        <f t="shared" ca="1" si="40"/>
        <v/>
      </c>
      <c r="CL34" s="5" t="str">
        <f t="shared" ca="1" si="40"/>
        <v/>
      </c>
      <c r="CM34" s="5" t="str">
        <f t="shared" ca="1" si="40"/>
        <v/>
      </c>
      <c r="CN34" s="5" t="str">
        <f t="shared" ca="1" si="40"/>
        <v/>
      </c>
      <c r="CO34" s="5" t="str">
        <f t="shared" ca="1" si="40"/>
        <v/>
      </c>
      <c r="CP34" s="5" t="str">
        <f t="shared" ca="1" si="40"/>
        <v/>
      </c>
      <c r="CQ34" s="5" t="str">
        <f t="shared" ca="1" si="40"/>
        <v/>
      </c>
      <c r="CR34" s="5" t="str">
        <f t="shared" ca="1" si="40"/>
        <v/>
      </c>
      <c r="CS34" s="5" t="str">
        <f t="shared" ca="1" si="40"/>
        <v/>
      </c>
      <c r="CT34" s="5" t="str">
        <f t="shared" ca="1" si="40"/>
        <v/>
      </c>
      <c r="CU34" s="5" t="str">
        <f t="shared" ca="1" si="33"/>
        <v/>
      </c>
      <c r="CV34" s="5" t="str">
        <f t="shared" ca="1" si="33"/>
        <v/>
      </c>
      <c r="CW34" s="5" t="str">
        <f t="shared" ca="1" si="33"/>
        <v/>
      </c>
      <c r="CX34" s="5" t="str">
        <f t="shared" ca="1" si="33"/>
        <v/>
      </c>
      <c r="CY34" s="5" t="str">
        <f t="shared" ca="1" si="33"/>
        <v/>
      </c>
      <c r="CZ34" s="5" t="str">
        <f t="shared" ca="1" si="33"/>
        <v/>
      </c>
      <c r="DA34" s="5" t="str">
        <f t="shared" ca="1" si="33"/>
        <v/>
      </c>
      <c r="DB34" s="5" t="str">
        <f t="shared" ca="1" si="33"/>
        <v/>
      </c>
    </row>
    <row r="35" spans="1:106" s="1" customFormat="1" ht="40.15" customHeight="1" x14ac:dyDescent="0.25">
      <c r="A35" s="3"/>
      <c r="B35" s="34"/>
      <c r="C35" s="34"/>
      <c r="D35" s="34"/>
      <c r="E35" s="50"/>
      <c r="F35" s="40"/>
      <c r="G35" s="57"/>
      <c r="H35" s="29"/>
      <c r="I35" s="29"/>
      <c r="J35" s="7"/>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t="str">
        <f t="shared" ca="1" si="40"/>
        <v/>
      </c>
      <c r="BP35" s="5" t="str">
        <f t="shared" ca="1" si="40"/>
        <v/>
      </c>
      <c r="BQ35" s="5" t="str">
        <f t="shared" ca="1" si="40"/>
        <v/>
      </c>
      <c r="BR35" s="5" t="str">
        <f t="shared" ca="1" si="40"/>
        <v/>
      </c>
      <c r="BS35" s="5" t="str">
        <f t="shared" ca="1" si="40"/>
        <v/>
      </c>
      <c r="BT35" s="5" t="str">
        <f t="shared" ca="1" si="40"/>
        <v/>
      </c>
      <c r="BU35" s="5" t="str">
        <f t="shared" ca="1" si="40"/>
        <v/>
      </c>
      <c r="BV35" s="5" t="str">
        <f t="shared" ca="1" si="40"/>
        <v/>
      </c>
      <c r="BW35" s="5" t="str">
        <f t="shared" ca="1" si="40"/>
        <v/>
      </c>
      <c r="BX35" s="5" t="str">
        <f t="shared" ca="1" si="40"/>
        <v/>
      </c>
      <c r="BY35" s="5" t="str">
        <f t="shared" ca="1" si="40"/>
        <v/>
      </c>
      <c r="BZ35" s="5" t="str">
        <f t="shared" ca="1" si="40"/>
        <v/>
      </c>
      <c r="CA35" s="5" t="str">
        <f t="shared" ca="1" si="40"/>
        <v/>
      </c>
      <c r="CB35" s="5" t="str">
        <f t="shared" ca="1" si="40"/>
        <v/>
      </c>
      <c r="CC35" s="5" t="str">
        <f t="shared" ca="1" si="40"/>
        <v/>
      </c>
      <c r="CD35" s="5" t="str">
        <f t="shared" ca="1" si="40"/>
        <v/>
      </c>
      <c r="CE35" s="5" t="str">
        <f t="shared" ca="1" si="40"/>
        <v/>
      </c>
      <c r="CF35" s="5" t="str">
        <f t="shared" ca="1" si="40"/>
        <v/>
      </c>
      <c r="CG35" s="5" t="str">
        <f t="shared" ca="1" si="40"/>
        <v/>
      </c>
      <c r="CH35" s="5" t="str">
        <f t="shared" ca="1" si="40"/>
        <v/>
      </c>
      <c r="CI35" s="5" t="str">
        <f t="shared" ca="1" si="40"/>
        <v/>
      </c>
      <c r="CJ35" s="5" t="str">
        <f t="shared" ca="1" si="40"/>
        <v/>
      </c>
      <c r="CK35" s="5" t="str">
        <f t="shared" ca="1" si="40"/>
        <v/>
      </c>
      <c r="CL35" s="5" t="str">
        <f t="shared" ca="1" si="40"/>
        <v/>
      </c>
      <c r="CM35" s="5" t="str">
        <f t="shared" ca="1" si="40"/>
        <v/>
      </c>
      <c r="CN35" s="5" t="str">
        <f t="shared" ca="1" si="40"/>
        <v/>
      </c>
      <c r="CO35" s="5" t="str">
        <f t="shared" ca="1" si="40"/>
        <v/>
      </c>
      <c r="CP35" s="5" t="str">
        <f t="shared" ca="1" si="40"/>
        <v/>
      </c>
      <c r="CQ35" s="5" t="str">
        <f t="shared" ca="1" si="40"/>
        <v/>
      </c>
      <c r="CR35" s="5" t="str">
        <f t="shared" ca="1" si="40"/>
        <v/>
      </c>
      <c r="CS35" s="5" t="str">
        <f t="shared" ca="1" si="40"/>
        <v/>
      </c>
      <c r="CT35" s="5" t="str">
        <f t="shared" ca="1" si="40"/>
        <v/>
      </c>
      <c r="CU35" s="5" t="str">
        <f t="shared" ca="1" si="33"/>
        <v/>
      </c>
      <c r="CV35" s="5" t="str">
        <f t="shared" ca="1" si="33"/>
        <v/>
      </c>
      <c r="CW35" s="5" t="str">
        <f t="shared" ca="1" si="33"/>
        <v/>
      </c>
      <c r="CX35" s="5" t="str">
        <f t="shared" ca="1" si="33"/>
        <v/>
      </c>
      <c r="CY35" s="5" t="str">
        <f t="shared" ca="1" si="33"/>
        <v/>
      </c>
      <c r="CZ35" s="5" t="str">
        <f t="shared" ca="1" si="33"/>
        <v/>
      </c>
      <c r="DA35" s="5" t="str">
        <f t="shared" ca="1" si="33"/>
        <v/>
      </c>
      <c r="DB35" s="5" t="str">
        <f t="shared" ca="1" si="33"/>
        <v/>
      </c>
    </row>
    <row r="36" spans="1:106" s="1" customFormat="1" ht="40.15" customHeight="1" x14ac:dyDescent="0.25">
      <c r="A36" s="3"/>
      <c r="B36" s="34"/>
      <c r="C36" s="34"/>
      <c r="D36" s="34"/>
      <c r="E36" s="50"/>
      <c r="F36" s="40"/>
      <c r="G36" s="57"/>
      <c r="H36" s="29"/>
      <c r="I36" s="29"/>
      <c r="J36" s="7"/>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c r="CV36" s="5"/>
      <c r="CW36" s="5"/>
      <c r="CX36" s="5"/>
      <c r="CY36" s="5"/>
      <c r="CZ36" s="5"/>
      <c r="DA36" s="5"/>
      <c r="DB36" s="5"/>
    </row>
    <row r="37" spans="1:106" s="1" customFormat="1" ht="23.25" x14ac:dyDescent="0.25">
      <c r="A37" s="3"/>
      <c r="B37" s="39" t="s">
        <v>21</v>
      </c>
      <c r="C37" s="34"/>
      <c r="D37" s="34"/>
      <c r="E37" s="49">
        <f>AVERAGE(E38:E45)</f>
        <v>1</v>
      </c>
      <c r="F37" s="40"/>
      <c r="G37" s="57"/>
      <c r="H37" s="29"/>
      <c r="I37" s="29"/>
      <c r="J37" s="7"/>
      <c r="K37" s="5" t="str">
        <f t="shared" ref="K37:T37" ca="1" si="43">IF(AND($C37="Objetivo",K$8&gt;=$F37,K$8&lt;=$F37+$G37-1),2,IF(AND($C37="Hito",K$8&gt;=$F37,K$8&lt;=$F37+$G37-1),1,""))</f>
        <v/>
      </c>
      <c r="L37" s="5" t="str">
        <f t="shared" ca="1" si="43"/>
        <v/>
      </c>
      <c r="M37" s="5" t="str">
        <f t="shared" ca="1" si="43"/>
        <v/>
      </c>
      <c r="N37" s="5" t="str">
        <f t="shared" ca="1" si="43"/>
        <v/>
      </c>
      <c r="O37" s="5" t="str">
        <f t="shared" ca="1" si="43"/>
        <v/>
      </c>
      <c r="P37" s="5" t="str">
        <f t="shared" ca="1" si="43"/>
        <v/>
      </c>
      <c r="Q37" s="5" t="str">
        <f t="shared" ca="1" si="43"/>
        <v/>
      </c>
      <c r="R37" s="5" t="str">
        <f t="shared" ca="1" si="43"/>
        <v/>
      </c>
      <c r="S37" s="5" t="str">
        <f t="shared" ca="1" si="43"/>
        <v/>
      </c>
      <c r="T37" s="5" t="str">
        <f t="shared" ca="1" si="43"/>
        <v/>
      </c>
      <c r="U37" s="5" t="str">
        <f t="shared" ref="U37:AD37" ca="1" si="44">IF(AND($C37="Objetivo",U$8&gt;=$F37,U$8&lt;=$F37+$G37-1),2,IF(AND($C37="Hito",U$8&gt;=$F37,U$8&lt;=$F37+$G37-1),1,""))</f>
        <v/>
      </c>
      <c r="V37" s="5" t="str">
        <f t="shared" ca="1" si="44"/>
        <v/>
      </c>
      <c r="W37" s="5" t="str">
        <f t="shared" ca="1" si="44"/>
        <v/>
      </c>
      <c r="X37" s="5" t="str">
        <f t="shared" ca="1" si="44"/>
        <v/>
      </c>
      <c r="Y37" s="5" t="str">
        <f t="shared" ca="1" si="44"/>
        <v/>
      </c>
      <c r="Z37" s="5" t="str">
        <f t="shared" ca="1" si="44"/>
        <v/>
      </c>
      <c r="AA37" s="5" t="str">
        <f t="shared" ca="1" si="44"/>
        <v/>
      </c>
      <c r="AB37" s="5" t="str">
        <f t="shared" ca="1" si="44"/>
        <v/>
      </c>
      <c r="AC37" s="5" t="str">
        <f t="shared" ca="1" si="44"/>
        <v/>
      </c>
      <c r="AD37" s="5" t="str">
        <f t="shared" ca="1" si="44"/>
        <v/>
      </c>
      <c r="AE37" s="5" t="str">
        <f t="shared" ref="AE37:AN37" ca="1" si="45">IF(AND($C37="Objetivo",AE$8&gt;=$F37,AE$8&lt;=$F37+$G37-1),2,IF(AND($C37="Hito",AE$8&gt;=$F37,AE$8&lt;=$F37+$G37-1),1,""))</f>
        <v/>
      </c>
      <c r="AF37" s="5" t="str">
        <f t="shared" ca="1" si="45"/>
        <v/>
      </c>
      <c r="AG37" s="5" t="str">
        <f t="shared" ca="1" si="45"/>
        <v/>
      </c>
      <c r="AH37" s="5" t="str">
        <f t="shared" ca="1" si="45"/>
        <v/>
      </c>
      <c r="AI37" s="5" t="str">
        <f t="shared" ca="1" si="45"/>
        <v/>
      </c>
      <c r="AJ37" s="5" t="str">
        <f t="shared" ca="1" si="45"/>
        <v/>
      </c>
      <c r="AK37" s="5" t="str">
        <f t="shared" ca="1" si="45"/>
        <v/>
      </c>
      <c r="AL37" s="5" t="str">
        <f t="shared" ca="1" si="45"/>
        <v/>
      </c>
      <c r="AM37" s="5" t="str">
        <f t="shared" ca="1" si="45"/>
        <v/>
      </c>
      <c r="AN37" s="5" t="str">
        <f t="shared" ca="1" si="45"/>
        <v/>
      </c>
      <c r="AO37" s="5" t="str">
        <f t="shared" ref="AO37:AX37" ca="1" si="46">IF(AND($C37="Objetivo",AO$8&gt;=$F37,AO$8&lt;=$F37+$G37-1),2,IF(AND($C37="Hito",AO$8&gt;=$F37,AO$8&lt;=$F37+$G37-1),1,""))</f>
        <v/>
      </c>
      <c r="AP37" s="5" t="str">
        <f t="shared" ca="1" si="46"/>
        <v/>
      </c>
      <c r="AQ37" s="5" t="str">
        <f t="shared" ca="1" si="46"/>
        <v/>
      </c>
      <c r="AR37" s="5" t="str">
        <f t="shared" ca="1" si="46"/>
        <v/>
      </c>
      <c r="AS37" s="5" t="str">
        <f t="shared" ca="1" si="46"/>
        <v/>
      </c>
      <c r="AT37" s="5" t="str">
        <f t="shared" ca="1" si="46"/>
        <v/>
      </c>
      <c r="AU37" s="5" t="str">
        <f t="shared" ca="1" si="46"/>
        <v/>
      </c>
      <c r="AV37" s="5" t="str">
        <f t="shared" ca="1" si="46"/>
        <v/>
      </c>
      <c r="AW37" s="5" t="str">
        <f t="shared" ca="1" si="46"/>
        <v/>
      </c>
      <c r="AX37" s="5" t="str">
        <f t="shared" ca="1" si="46"/>
        <v/>
      </c>
      <c r="AY37" s="5" t="str">
        <f t="shared" ref="AY37:BH37" ca="1" si="47">IF(AND($C37="Objetivo",AY$8&gt;=$F37,AY$8&lt;=$F37+$G37-1),2,IF(AND($C37="Hito",AY$8&gt;=$F37,AY$8&lt;=$F37+$G37-1),1,""))</f>
        <v/>
      </c>
      <c r="AZ37" s="5" t="str">
        <f t="shared" ca="1" si="47"/>
        <v/>
      </c>
      <c r="BA37" s="5" t="str">
        <f t="shared" ca="1" si="47"/>
        <v/>
      </c>
      <c r="BB37" s="5" t="str">
        <f t="shared" ca="1" si="47"/>
        <v/>
      </c>
      <c r="BC37" s="5" t="str">
        <f t="shared" ca="1" si="47"/>
        <v/>
      </c>
      <c r="BD37" s="5" t="str">
        <f t="shared" ca="1" si="47"/>
        <v/>
      </c>
      <c r="BE37" s="5" t="str">
        <f t="shared" ca="1" si="47"/>
        <v/>
      </c>
      <c r="BF37" s="5" t="str">
        <f t="shared" ca="1" si="47"/>
        <v/>
      </c>
      <c r="BG37" s="5" t="str">
        <f t="shared" ca="1" si="47"/>
        <v/>
      </c>
      <c r="BH37" s="5" t="str">
        <f t="shared" ca="1" si="47"/>
        <v/>
      </c>
      <c r="BI37" s="5" t="str">
        <f t="shared" ref="BI37:BN37" ca="1" si="48">IF(AND($C37="Objetivo",BI$8&gt;=$F37,BI$8&lt;=$F37+$G37-1),2,IF(AND($C37="Hito",BI$8&gt;=$F37,BI$8&lt;=$F37+$G37-1),1,""))</f>
        <v/>
      </c>
      <c r="BJ37" s="5" t="str">
        <f t="shared" ca="1" si="48"/>
        <v/>
      </c>
      <c r="BK37" s="5" t="str">
        <f t="shared" ca="1" si="48"/>
        <v/>
      </c>
      <c r="BL37" s="5" t="str">
        <f t="shared" ca="1" si="48"/>
        <v/>
      </c>
      <c r="BM37" s="5" t="str">
        <f t="shared" ca="1" si="48"/>
        <v/>
      </c>
      <c r="BN37" s="5" t="str">
        <f t="shared" ca="1" si="48"/>
        <v/>
      </c>
      <c r="BO37" s="5" t="str">
        <f t="shared" ca="1" si="40"/>
        <v/>
      </c>
      <c r="BP37" s="5" t="str">
        <f t="shared" ca="1" si="40"/>
        <v/>
      </c>
      <c r="BQ37" s="5" t="str">
        <f t="shared" ca="1" si="40"/>
        <v/>
      </c>
      <c r="BR37" s="5" t="str">
        <f t="shared" ca="1" si="40"/>
        <v/>
      </c>
      <c r="BS37" s="5" t="str">
        <f t="shared" ca="1" si="40"/>
        <v/>
      </c>
      <c r="BT37" s="5" t="str">
        <f t="shared" ca="1" si="40"/>
        <v/>
      </c>
      <c r="BU37" s="5" t="str">
        <f t="shared" ca="1" si="40"/>
        <v/>
      </c>
      <c r="BV37" s="5" t="str">
        <f t="shared" ca="1" si="40"/>
        <v/>
      </c>
      <c r="BW37" s="5" t="str">
        <f t="shared" ca="1" si="40"/>
        <v/>
      </c>
      <c r="BX37" s="5" t="str">
        <f t="shared" ca="1" si="40"/>
        <v/>
      </c>
      <c r="BY37" s="5" t="str">
        <f t="shared" ca="1" si="40"/>
        <v/>
      </c>
      <c r="BZ37" s="5" t="str">
        <f t="shared" ca="1" si="40"/>
        <v/>
      </c>
      <c r="CA37" s="5" t="str">
        <f t="shared" ca="1" si="40"/>
        <v/>
      </c>
      <c r="CB37" s="5" t="str">
        <f t="shared" ca="1" si="40"/>
        <v/>
      </c>
      <c r="CC37" s="5" t="str">
        <f t="shared" ca="1" si="40"/>
        <v/>
      </c>
      <c r="CD37" s="5" t="str">
        <f t="shared" ca="1" si="40"/>
        <v/>
      </c>
      <c r="CE37" s="5" t="str">
        <f t="shared" ca="1" si="40"/>
        <v/>
      </c>
      <c r="CF37" s="5" t="str">
        <f t="shared" ca="1" si="40"/>
        <v/>
      </c>
      <c r="CG37" s="5" t="str">
        <f t="shared" ca="1" si="40"/>
        <v/>
      </c>
      <c r="CH37" s="5" t="str">
        <f t="shared" ca="1" si="40"/>
        <v/>
      </c>
      <c r="CI37" s="5" t="str">
        <f t="shared" ca="1" si="40"/>
        <v/>
      </c>
      <c r="CJ37" s="5" t="str">
        <f t="shared" ca="1" si="40"/>
        <v/>
      </c>
      <c r="CK37" s="5" t="str">
        <f t="shared" ca="1" si="40"/>
        <v/>
      </c>
      <c r="CL37" s="5" t="str">
        <f t="shared" ca="1" si="40"/>
        <v/>
      </c>
      <c r="CM37" s="5" t="str">
        <f t="shared" ca="1" si="40"/>
        <v/>
      </c>
      <c r="CN37" s="5" t="str">
        <f t="shared" ca="1" si="40"/>
        <v/>
      </c>
      <c r="CO37" s="5" t="str">
        <f t="shared" ca="1" si="40"/>
        <v/>
      </c>
      <c r="CP37" s="5" t="str">
        <f t="shared" ca="1" si="40"/>
        <v/>
      </c>
      <c r="CQ37" s="5" t="str">
        <f t="shared" ca="1" si="40"/>
        <v/>
      </c>
      <c r="CR37" s="5" t="str">
        <f t="shared" ca="1" si="40"/>
        <v/>
      </c>
      <c r="CS37" s="5" t="str">
        <f t="shared" ca="1" si="40"/>
        <v/>
      </c>
      <c r="CT37" s="5" t="str">
        <f t="shared" ref="CT37:DB37" ca="1" si="49">IF(AND($C37="Objetivo",CT$8&gt;=$F37,CT$8&lt;=$F37+$G37-1),2,IF(AND($C37="Hito",CT$8&gt;=$F37,CT$8&lt;=$F37+$G37-1),1,""))</f>
        <v/>
      </c>
      <c r="CU37" s="5" t="str">
        <f t="shared" ca="1" si="49"/>
        <v/>
      </c>
      <c r="CV37" s="5" t="str">
        <f t="shared" ca="1" si="49"/>
        <v/>
      </c>
      <c r="CW37" s="5" t="str">
        <f t="shared" ca="1" si="49"/>
        <v/>
      </c>
      <c r="CX37" s="5" t="str">
        <f t="shared" ca="1" si="49"/>
        <v/>
      </c>
      <c r="CY37" s="5" t="str">
        <f t="shared" ca="1" si="49"/>
        <v/>
      </c>
      <c r="CZ37" s="5" t="str">
        <f t="shared" ca="1" si="49"/>
        <v/>
      </c>
      <c r="DA37" s="5" t="str">
        <f t="shared" ca="1" si="49"/>
        <v/>
      </c>
      <c r="DB37" s="5" t="str">
        <f t="shared" ca="1" si="49"/>
        <v/>
      </c>
    </row>
    <row r="38" spans="1:106" s="1" customFormat="1" ht="40.15" customHeight="1" x14ac:dyDescent="0.25">
      <c r="A38" s="3"/>
      <c r="B38" s="41" t="s">
        <v>112</v>
      </c>
      <c r="C38" s="34" t="s">
        <v>3</v>
      </c>
      <c r="D38" s="34" t="s">
        <v>76</v>
      </c>
      <c r="E38" s="50">
        <v>1</v>
      </c>
      <c r="F38" s="40">
        <v>45968</v>
      </c>
      <c r="G38" s="57">
        <v>1</v>
      </c>
      <c r="H38" s="32" t="s">
        <v>89</v>
      </c>
      <c r="I38" s="32" t="s">
        <v>94</v>
      </c>
      <c r="J38" s="7"/>
      <c r="K38" s="5" t="str">
        <f t="shared" ref="K38:T39" ca="1" si="50">IF(AND($C39="Objetivo",K$8&gt;=$F39,K$8&lt;=$F39+$G39-1),2,IF(AND($C39="Hito",K$8&gt;=$F39,K$8&lt;=$F39+$G39-1),1,""))</f>
        <v/>
      </c>
      <c r="L38" s="5" t="str">
        <f t="shared" ca="1" si="50"/>
        <v/>
      </c>
      <c r="M38" s="5" t="str">
        <f t="shared" ca="1" si="50"/>
        <v/>
      </c>
      <c r="N38" s="5" t="str">
        <f t="shared" ca="1" si="50"/>
        <v/>
      </c>
      <c r="O38" s="5" t="str">
        <f t="shared" ca="1" si="50"/>
        <v/>
      </c>
      <c r="P38" s="5" t="str">
        <f t="shared" ca="1" si="50"/>
        <v/>
      </c>
      <c r="Q38" s="5" t="str">
        <f t="shared" ca="1" si="50"/>
        <v/>
      </c>
      <c r="R38" s="5" t="str">
        <f t="shared" ca="1" si="50"/>
        <v/>
      </c>
      <c r="S38" s="5" t="str">
        <f t="shared" ca="1" si="50"/>
        <v/>
      </c>
      <c r="T38" s="5" t="str">
        <f t="shared" ca="1" si="50"/>
        <v/>
      </c>
      <c r="U38" s="5" t="str">
        <f t="shared" ref="U38:AD39" ca="1" si="51">IF(AND($C39="Objetivo",U$8&gt;=$F39,U$8&lt;=$F39+$G39-1),2,IF(AND($C39="Hito",U$8&gt;=$F39,U$8&lt;=$F39+$G39-1),1,""))</f>
        <v/>
      </c>
      <c r="V38" s="5" t="str">
        <f t="shared" ca="1" si="51"/>
        <v/>
      </c>
      <c r="W38" s="5" t="str">
        <f t="shared" ca="1" si="51"/>
        <v/>
      </c>
      <c r="X38" s="5" t="str">
        <f t="shared" ca="1" si="51"/>
        <v/>
      </c>
      <c r="Y38" s="5" t="str">
        <f t="shared" ca="1" si="51"/>
        <v/>
      </c>
      <c r="Z38" s="5" t="str">
        <f t="shared" ca="1" si="51"/>
        <v/>
      </c>
      <c r="AA38" s="5" t="str">
        <f t="shared" ca="1" si="51"/>
        <v/>
      </c>
      <c r="AB38" s="5" t="str">
        <f t="shared" ca="1" si="51"/>
        <v/>
      </c>
      <c r="AC38" s="5" t="str">
        <f t="shared" ca="1" si="51"/>
        <v/>
      </c>
      <c r="AD38" s="5" t="str">
        <f t="shared" ca="1" si="51"/>
        <v/>
      </c>
      <c r="AE38" s="5" t="str">
        <f t="shared" ref="AE38:AN39" ca="1" si="52">IF(AND($C39="Objetivo",AE$8&gt;=$F39,AE$8&lt;=$F39+$G39-1),2,IF(AND($C39="Hito",AE$8&gt;=$F39,AE$8&lt;=$F39+$G39-1),1,""))</f>
        <v/>
      </c>
      <c r="AF38" s="5" t="str">
        <f t="shared" ca="1" si="52"/>
        <v/>
      </c>
      <c r="AG38" s="5" t="str">
        <f t="shared" ca="1" si="52"/>
        <v/>
      </c>
      <c r="AH38" s="5" t="str">
        <f t="shared" ca="1" si="52"/>
        <v/>
      </c>
      <c r="AI38" s="5" t="str">
        <f t="shared" ca="1" si="52"/>
        <v/>
      </c>
      <c r="AJ38" s="5" t="str">
        <f t="shared" ca="1" si="52"/>
        <v/>
      </c>
      <c r="AK38" s="5" t="str">
        <f t="shared" ca="1" si="52"/>
        <v/>
      </c>
      <c r="AL38" s="5" t="str">
        <f t="shared" ca="1" si="52"/>
        <v/>
      </c>
      <c r="AM38" s="5" t="str">
        <f t="shared" ca="1" si="52"/>
        <v/>
      </c>
      <c r="AN38" s="5" t="str">
        <f t="shared" ca="1" si="52"/>
        <v/>
      </c>
      <c r="AO38" s="5" t="str">
        <f t="shared" ref="AO38:AX39" ca="1" si="53">IF(AND($C39="Objetivo",AO$8&gt;=$F39,AO$8&lt;=$F39+$G39-1),2,IF(AND($C39="Hito",AO$8&gt;=$F39,AO$8&lt;=$F39+$G39-1),1,""))</f>
        <v/>
      </c>
      <c r="AP38" s="5" t="str">
        <f t="shared" ca="1" si="53"/>
        <v/>
      </c>
      <c r="AQ38" s="5" t="str">
        <f t="shared" ca="1" si="53"/>
        <v/>
      </c>
      <c r="AR38" s="5" t="str">
        <f t="shared" ca="1" si="53"/>
        <v/>
      </c>
      <c r="AS38" s="5" t="str">
        <f t="shared" ca="1" si="53"/>
        <v/>
      </c>
      <c r="AT38" s="5" t="str">
        <f t="shared" ca="1" si="53"/>
        <v/>
      </c>
      <c r="AU38" s="5" t="str">
        <f t="shared" ca="1" si="53"/>
        <v/>
      </c>
      <c r="AV38" s="5" t="str">
        <f t="shared" ca="1" si="53"/>
        <v/>
      </c>
      <c r="AW38" s="5" t="str">
        <f t="shared" ca="1" si="53"/>
        <v/>
      </c>
      <c r="AX38" s="5" t="str">
        <f t="shared" ca="1" si="53"/>
        <v/>
      </c>
      <c r="AY38" s="5" t="str">
        <f t="shared" ref="AY38:BH39" ca="1" si="54">IF(AND($C39="Objetivo",AY$8&gt;=$F39,AY$8&lt;=$F39+$G39-1),2,IF(AND($C39="Hito",AY$8&gt;=$F39,AY$8&lt;=$F39+$G39-1),1,""))</f>
        <v/>
      </c>
      <c r="AZ38" s="5" t="str">
        <f t="shared" ca="1" si="54"/>
        <v/>
      </c>
      <c r="BA38" s="5" t="str">
        <f t="shared" ca="1" si="54"/>
        <v/>
      </c>
      <c r="BB38" s="5" t="str">
        <f t="shared" ca="1" si="54"/>
        <v/>
      </c>
      <c r="BC38" s="5" t="str">
        <f t="shared" ca="1" si="54"/>
        <v/>
      </c>
      <c r="BD38" s="5" t="str">
        <f t="shared" ca="1" si="54"/>
        <v/>
      </c>
      <c r="BE38" s="5" t="str">
        <f t="shared" ca="1" si="54"/>
        <v/>
      </c>
      <c r="BF38" s="5" t="str">
        <f t="shared" ca="1" si="54"/>
        <v/>
      </c>
      <c r="BG38" s="5" t="str">
        <f t="shared" ca="1" si="54"/>
        <v/>
      </c>
      <c r="BH38" s="5" t="str">
        <f t="shared" ca="1" si="54"/>
        <v/>
      </c>
      <c r="BI38" s="5" t="str">
        <f t="shared" ref="BI38:BR39" ca="1" si="55">IF(AND($C39="Objetivo",BI$8&gt;=$F39,BI$8&lt;=$F39+$G39-1),2,IF(AND($C39="Hito",BI$8&gt;=$F39,BI$8&lt;=$F39+$G39-1),1,""))</f>
        <v/>
      </c>
      <c r="BJ38" s="5" t="str">
        <f t="shared" ca="1" si="55"/>
        <v/>
      </c>
      <c r="BK38" s="5" t="str">
        <f t="shared" ca="1" si="55"/>
        <v/>
      </c>
      <c r="BL38" s="5" t="str">
        <f t="shared" ca="1" si="55"/>
        <v/>
      </c>
      <c r="BM38" s="5" t="str">
        <f t="shared" ca="1" si="55"/>
        <v/>
      </c>
      <c r="BN38" s="5" t="str">
        <f t="shared" ca="1" si="55"/>
        <v/>
      </c>
      <c r="BO38" s="5" t="str">
        <f t="shared" ca="1" si="55"/>
        <v/>
      </c>
      <c r="BP38" s="5" t="str">
        <f t="shared" ca="1" si="55"/>
        <v/>
      </c>
      <c r="BQ38" s="5" t="str">
        <f t="shared" ca="1" si="55"/>
        <v/>
      </c>
      <c r="BR38" s="5" t="str">
        <f t="shared" ca="1" si="55"/>
        <v/>
      </c>
      <c r="BS38" s="5" t="str">
        <f t="shared" ref="BS38:CB39" ca="1" si="56">IF(AND($C39="Objetivo",BS$8&gt;=$F39,BS$8&lt;=$F39+$G39-1),2,IF(AND($C39="Hito",BS$8&gt;=$F39,BS$8&lt;=$F39+$G39-1),1,""))</f>
        <v/>
      </c>
      <c r="BT38" s="5" t="str">
        <f t="shared" ca="1" si="56"/>
        <v/>
      </c>
      <c r="BU38" s="5" t="str">
        <f t="shared" ca="1" si="56"/>
        <v/>
      </c>
      <c r="BV38" s="5" t="str">
        <f t="shared" ca="1" si="56"/>
        <v/>
      </c>
      <c r="BW38" s="5" t="str">
        <f t="shared" ca="1" si="56"/>
        <v/>
      </c>
      <c r="BX38" s="5" t="str">
        <f t="shared" ca="1" si="56"/>
        <v/>
      </c>
      <c r="BY38" s="5" t="str">
        <f t="shared" ca="1" si="56"/>
        <v/>
      </c>
      <c r="BZ38" s="5" t="str">
        <f t="shared" ca="1" si="56"/>
        <v/>
      </c>
      <c r="CA38" s="5" t="str">
        <f t="shared" ca="1" si="56"/>
        <v/>
      </c>
      <c r="CB38" s="5" t="str">
        <f t="shared" ca="1" si="56"/>
        <v/>
      </c>
      <c r="CC38" s="5" t="str">
        <f t="shared" ref="CC38:CL39" ca="1" si="57">IF(AND($C39="Objetivo",CC$8&gt;=$F39,CC$8&lt;=$F39+$G39-1),2,IF(AND($C39="Hito",CC$8&gt;=$F39,CC$8&lt;=$F39+$G39-1),1,""))</f>
        <v/>
      </c>
      <c r="CD38" s="5" t="str">
        <f t="shared" ca="1" si="57"/>
        <v/>
      </c>
      <c r="CE38" s="5" t="str">
        <f t="shared" ca="1" si="57"/>
        <v/>
      </c>
      <c r="CF38" s="5" t="str">
        <f t="shared" ca="1" si="57"/>
        <v/>
      </c>
      <c r="CG38" s="5" t="str">
        <f t="shared" ca="1" si="57"/>
        <v/>
      </c>
      <c r="CH38" s="5" t="str">
        <f t="shared" ca="1" si="57"/>
        <v/>
      </c>
      <c r="CI38" s="5" t="str">
        <f t="shared" ca="1" si="57"/>
        <v/>
      </c>
      <c r="CJ38" s="5" t="str">
        <f t="shared" ca="1" si="57"/>
        <v/>
      </c>
      <c r="CK38" s="5" t="str">
        <f t="shared" ca="1" si="57"/>
        <v/>
      </c>
      <c r="CL38" s="5" t="str">
        <f t="shared" ca="1" si="57"/>
        <v/>
      </c>
      <c r="CM38" s="5" t="str">
        <f t="shared" ref="CM38:CV39" ca="1" si="58">IF(AND($C39="Objetivo",CM$8&gt;=$F39,CM$8&lt;=$F39+$G39-1),2,IF(AND($C39="Hito",CM$8&gt;=$F39,CM$8&lt;=$F39+$G39-1),1,""))</f>
        <v/>
      </c>
      <c r="CN38" s="5" t="str">
        <f t="shared" ca="1" si="58"/>
        <v/>
      </c>
      <c r="CO38" s="5" t="str">
        <f t="shared" ca="1" si="58"/>
        <v/>
      </c>
      <c r="CP38" s="5" t="str">
        <f t="shared" ca="1" si="58"/>
        <v/>
      </c>
      <c r="CQ38" s="5" t="str">
        <f t="shared" ca="1" si="58"/>
        <v/>
      </c>
      <c r="CR38" s="5" t="str">
        <f t="shared" ca="1" si="58"/>
        <v/>
      </c>
      <c r="CS38" s="5" t="str">
        <f t="shared" ca="1" si="58"/>
        <v/>
      </c>
      <c r="CT38" s="5" t="str">
        <f t="shared" ca="1" si="58"/>
        <v/>
      </c>
      <c r="CU38" s="5" t="str">
        <f t="shared" ca="1" si="58"/>
        <v/>
      </c>
      <c r="CV38" s="5" t="str">
        <f t="shared" ca="1" si="58"/>
        <v/>
      </c>
      <c r="CW38" s="5" t="str">
        <f t="shared" ref="CW38:DB39" ca="1" si="59">IF(AND($C39="Objetivo",CW$8&gt;=$F39,CW$8&lt;=$F39+$G39-1),2,IF(AND($C39="Hito",CW$8&gt;=$F39,CW$8&lt;=$F39+$G39-1),1,""))</f>
        <v/>
      </c>
      <c r="CX38" s="5" t="str">
        <f t="shared" ca="1" si="59"/>
        <v/>
      </c>
      <c r="CY38" s="5" t="str">
        <f t="shared" ca="1" si="59"/>
        <v/>
      </c>
      <c r="CZ38" s="5" t="str">
        <f t="shared" ca="1" si="59"/>
        <v/>
      </c>
      <c r="DA38" s="5" t="str">
        <f t="shared" ca="1" si="59"/>
        <v/>
      </c>
      <c r="DB38" s="5" t="str">
        <f t="shared" ca="1" si="59"/>
        <v/>
      </c>
    </row>
    <row r="39" spans="1:106" s="1" customFormat="1" ht="40.15" customHeight="1" x14ac:dyDescent="0.25">
      <c r="A39" s="3"/>
      <c r="B39" s="34" t="s">
        <v>72</v>
      </c>
      <c r="C39" s="34" t="s">
        <v>5</v>
      </c>
      <c r="D39" s="34" t="s">
        <v>37</v>
      </c>
      <c r="E39" s="50">
        <v>1</v>
      </c>
      <c r="F39" s="40">
        <v>45969</v>
      </c>
      <c r="G39" s="57">
        <v>3</v>
      </c>
      <c r="H39" s="32" t="s">
        <v>86</v>
      </c>
      <c r="I39" s="32" t="s">
        <v>91</v>
      </c>
      <c r="J39" s="7"/>
      <c r="K39" s="5" t="str">
        <f t="shared" ca="1" si="50"/>
        <v/>
      </c>
      <c r="L39" s="5" t="str">
        <f t="shared" ca="1" si="50"/>
        <v/>
      </c>
      <c r="M39" s="5" t="str">
        <f t="shared" ca="1" si="50"/>
        <v/>
      </c>
      <c r="N39" s="5" t="str">
        <f t="shared" ca="1" si="50"/>
        <v/>
      </c>
      <c r="O39" s="5" t="str">
        <f t="shared" ca="1" si="50"/>
        <v/>
      </c>
      <c r="P39" s="5" t="str">
        <f t="shared" ca="1" si="50"/>
        <v/>
      </c>
      <c r="Q39" s="5" t="str">
        <f t="shared" ca="1" si="50"/>
        <v/>
      </c>
      <c r="R39" s="5" t="str">
        <f t="shared" ca="1" si="50"/>
        <v/>
      </c>
      <c r="S39" s="5" t="str">
        <f t="shared" ca="1" si="50"/>
        <v/>
      </c>
      <c r="T39" s="5" t="str">
        <f t="shared" ca="1" si="50"/>
        <v/>
      </c>
      <c r="U39" s="5" t="str">
        <f t="shared" ca="1" si="51"/>
        <v/>
      </c>
      <c r="V39" s="5" t="str">
        <f t="shared" ca="1" si="51"/>
        <v/>
      </c>
      <c r="W39" s="5" t="str">
        <f t="shared" ca="1" si="51"/>
        <v/>
      </c>
      <c r="X39" s="5" t="str">
        <f t="shared" ca="1" si="51"/>
        <v/>
      </c>
      <c r="Y39" s="5" t="str">
        <f t="shared" ca="1" si="51"/>
        <v/>
      </c>
      <c r="Z39" s="5" t="str">
        <f t="shared" ca="1" si="51"/>
        <v/>
      </c>
      <c r="AA39" s="5" t="str">
        <f t="shared" ca="1" si="51"/>
        <v/>
      </c>
      <c r="AB39" s="5" t="str">
        <f t="shared" ca="1" si="51"/>
        <v/>
      </c>
      <c r="AC39" s="5" t="str">
        <f t="shared" ca="1" si="51"/>
        <v/>
      </c>
      <c r="AD39" s="5" t="str">
        <f t="shared" ca="1" si="51"/>
        <v/>
      </c>
      <c r="AE39" s="5" t="str">
        <f t="shared" ca="1" si="52"/>
        <v/>
      </c>
      <c r="AF39" s="5" t="str">
        <f t="shared" ca="1" si="52"/>
        <v/>
      </c>
      <c r="AG39" s="5" t="str">
        <f t="shared" ca="1" si="52"/>
        <v/>
      </c>
      <c r="AH39" s="5" t="str">
        <f t="shared" ca="1" si="52"/>
        <v/>
      </c>
      <c r="AI39" s="5" t="str">
        <f t="shared" ca="1" si="52"/>
        <v/>
      </c>
      <c r="AJ39" s="5" t="str">
        <f t="shared" ca="1" si="52"/>
        <v/>
      </c>
      <c r="AK39" s="5" t="str">
        <f t="shared" ca="1" si="52"/>
        <v/>
      </c>
      <c r="AL39" s="5" t="str">
        <f t="shared" ca="1" si="52"/>
        <v/>
      </c>
      <c r="AM39" s="5" t="str">
        <f t="shared" ca="1" si="52"/>
        <v/>
      </c>
      <c r="AN39" s="5" t="str">
        <f t="shared" ca="1" si="52"/>
        <v/>
      </c>
      <c r="AO39" s="5" t="str">
        <f t="shared" ca="1" si="53"/>
        <v/>
      </c>
      <c r="AP39" s="5" t="str">
        <f t="shared" ca="1" si="53"/>
        <v/>
      </c>
      <c r="AQ39" s="5" t="str">
        <f t="shared" ca="1" si="53"/>
        <v/>
      </c>
      <c r="AR39" s="5" t="str">
        <f t="shared" ca="1" si="53"/>
        <v/>
      </c>
      <c r="AS39" s="5" t="str">
        <f t="shared" ca="1" si="53"/>
        <v/>
      </c>
      <c r="AT39" s="5" t="str">
        <f t="shared" ca="1" si="53"/>
        <v/>
      </c>
      <c r="AU39" s="5" t="str">
        <f t="shared" ca="1" si="53"/>
        <v/>
      </c>
      <c r="AV39" s="5" t="str">
        <f t="shared" ca="1" si="53"/>
        <v/>
      </c>
      <c r="AW39" s="5" t="str">
        <f t="shared" ca="1" si="53"/>
        <v/>
      </c>
      <c r="AX39" s="5" t="str">
        <f t="shared" ca="1" si="53"/>
        <v/>
      </c>
      <c r="AY39" s="5" t="str">
        <f t="shared" ca="1" si="54"/>
        <v/>
      </c>
      <c r="AZ39" s="5" t="str">
        <f t="shared" ca="1" si="54"/>
        <v/>
      </c>
      <c r="BA39" s="5" t="str">
        <f t="shared" ca="1" si="54"/>
        <v/>
      </c>
      <c r="BB39" s="5" t="str">
        <f t="shared" ca="1" si="54"/>
        <v/>
      </c>
      <c r="BC39" s="5" t="str">
        <f t="shared" ca="1" si="54"/>
        <v/>
      </c>
      <c r="BD39" s="5" t="str">
        <f t="shared" ca="1" si="54"/>
        <v/>
      </c>
      <c r="BE39" s="5" t="str">
        <f t="shared" ca="1" si="54"/>
        <v/>
      </c>
      <c r="BF39" s="5" t="str">
        <f t="shared" ca="1" si="54"/>
        <v/>
      </c>
      <c r="BG39" s="5" t="str">
        <f t="shared" ca="1" si="54"/>
        <v/>
      </c>
      <c r="BH39" s="5" t="str">
        <f t="shared" ca="1" si="54"/>
        <v/>
      </c>
      <c r="BI39" s="5" t="str">
        <f t="shared" ca="1" si="55"/>
        <v/>
      </c>
      <c r="BJ39" s="5" t="str">
        <f t="shared" ca="1" si="55"/>
        <v/>
      </c>
      <c r="BK39" s="5" t="str">
        <f t="shared" ca="1" si="55"/>
        <v/>
      </c>
      <c r="BL39" s="5" t="str">
        <f t="shared" ca="1" si="55"/>
        <v/>
      </c>
      <c r="BM39" s="5" t="str">
        <f t="shared" ca="1" si="55"/>
        <v/>
      </c>
      <c r="BN39" s="5" t="str">
        <f t="shared" ca="1" si="55"/>
        <v/>
      </c>
      <c r="BO39" s="5" t="str">
        <f t="shared" ca="1" si="55"/>
        <v/>
      </c>
      <c r="BP39" s="5" t="str">
        <f t="shared" ca="1" si="55"/>
        <v/>
      </c>
      <c r="BQ39" s="5" t="str">
        <f t="shared" ca="1" si="55"/>
        <v/>
      </c>
      <c r="BR39" s="5" t="str">
        <f t="shared" ca="1" si="55"/>
        <v/>
      </c>
      <c r="BS39" s="5" t="str">
        <f t="shared" ca="1" si="56"/>
        <v/>
      </c>
      <c r="BT39" s="5" t="str">
        <f t="shared" ca="1" si="56"/>
        <v/>
      </c>
      <c r="BU39" s="5" t="str">
        <f t="shared" ca="1" si="56"/>
        <v/>
      </c>
      <c r="BV39" s="5" t="str">
        <f t="shared" ca="1" si="56"/>
        <v/>
      </c>
      <c r="BW39" s="5" t="str">
        <f t="shared" ca="1" si="56"/>
        <v/>
      </c>
      <c r="BX39" s="5" t="str">
        <f t="shared" ca="1" si="56"/>
        <v/>
      </c>
      <c r="BY39" s="5" t="str">
        <f t="shared" ca="1" si="56"/>
        <v/>
      </c>
      <c r="BZ39" s="5" t="str">
        <f t="shared" ca="1" si="56"/>
        <v/>
      </c>
      <c r="CA39" s="5" t="str">
        <f t="shared" ca="1" si="56"/>
        <v/>
      </c>
      <c r="CB39" s="5" t="str">
        <f t="shared" ca="1" si="56"/>
        <v/>
      </c>
      <c r="CC39" s="5" t="str">
        <f t="shared" ca="1" si="57"/>
        <v/>
      </c>
      <c r="CD39" s="5" t="str">
        <f t="shared" ca="1" si="57"/>
        <v/>
      </c>
      <c r="CE39" s="5" t="str">
        <f t="shared" ca="1" si="57"/>
        <v/>
      </c>
      <c r="CF39" s="5" t="str">
        <f t="shared" ca="1" si="57"/>
        <v/>
      </c>
      <c r="CG39" s="5" t="str">
        <f t="shared" ca="1" si="57"/>
        <v/>
      </c>
      <c r="CH39" s="5" t="str">
        <f t="shared" ca="1" si="57"/>
        <v/>
      </c>
      <c r="CI39" s="5" t="str">
        <f t="shared" ca="1" si="57"/>
        <v/>
      </c>
      <c r="CJ39" s="5" t="str">
        <f t="shared" ca="1" si="57"/>
        <v/>
      </c>
      <c r="CK39" s="5" t="str">
        <f t="shared" ca="1" si="57"/>
        <v/>
      </c>
      <c r="CL39" s="5" t="str">
        <f t="shared" ca="1" si="57"/>
        <v/>
      </c>
      <c r="CM39" s="5" t="str">
        <f t="shared" ca="1" si="58"/>
        <v/>
      </c>
      <c r="CN39" s="5" t="str">
        <f t="shared" ca="1" si="58"/>
        <v/>
      </c>
      <c r="CO39" s="5" t="str">
        <f t="shared" ca="1" si="58"/>
        <v/>
      </c>
      <c r="CP39" s="5" t="str">
        <f t="shared" ca="1" si="58"/>
        <v/>
      </c>
      <c r="CQ39" s="5" t="str">
        <f t="shared" ca="1" si="58"/>
        <v/>
      </c>
      <c r="CR39" s="5" t="str">
        <f t="shared" ca="1" si="58"/>
        <v/>
      </c>
      <c r="CS39" s="5" t="str">
        <f t="shared" ca="1" si="58"/>
        <v/>
      </c>
      <c r="CT39" s="5" t="str">
        <f t="shared" ca="1" si="58"/>
        <v/>
      </c>
      <c r="CU39" s="5" t="str">
        <f t="shared" ca="1" si="58"/>
        <v/>
      </c>
      <c r="CV39" s="5" t="str">
        <f t="shared" ca="1" si="58"/>
        <v/>
      </c>
      <c r="CW39" s="5" t="str">
        <f t="shared" ca="1" si="59"/>
        <v/>
      </c>
      <c r="CX39" s="5" t="str">
        <f t="shared" ca="1" si="59"/>
        <v/>
      </c>
      <c r="CY39" s="5" t="str">
        <f t="shared" ca="1" si="59"/>
        <v/>
      </c>
      <c r="CZ39" s="5" t="str">
        <f t="shared" ca="1" si="59"/>
        <v/>
      </c>
      <c r="DA39" s="5" t="str">
        <f t="shared" ca="1" si="59"/>
        <v/>
      </c>
      <c r="DB39" s="5" t="str">
        <f t="shared" ca="1" si="59"/>
        <v/>
      </c>
    </row>
    <row r="40" spans="1:106" s="1" customFormat="1" ht="40.15" customHeight="1" x14ac:dyDescent="0.25">
      <c r="A40" s="3"/>
      <c r="B40" s="34" t="s">
        <v>75</v>
      </c>
      <c r="C40" s="34" t="s">
        <v>5</v>
      </c>
      <c r="D40" s="34" t="s">
        <v>37</v>
      </c>
      <c r="E40" s="50">
        <v>1</v>
      </c>
      <c r="F40" s="40">
        <v>45971</v>
      </c>
      <c r="G40" s="57">
        <v>2</v>
      </c>
      <c r="H40" s="32" t="s">
        <v>87</v>
      </c>
      <c r="I40" s="32" t="s">
        <v>92</v>
      </c>
      <c r="J40" s="7"/>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c r="BY40" s="5"/>
      <c r="BZ40" s="5"/>
      <c r="CA40" s="5"/>
      <c r="CB40" s="5"/>
      <c r="CC40" s="5"/>
      <c r="CD40" s="5"/>
      <c r="CE40" s="5"/>
      <c r="CF40" s="5"/>
      <c r="CG40" s="5"/>
      <c r="CH40" s="5"/>
      <c r="CI40" s="5"/>
      <c r="CJ40" s="5"/>
      <c r="CK40" s="5"/>
      <c r="CL40" s="5"/>
      <c r="CM40" s="5"/>
      <c r="CN40" s="5"/>
      <c r="CO40" s="5"/>
      <c r="CP40" s="5"/>
      <c r="CQ40" s="5"/>
      <c r="CR40" s="5"/>
      <c r="CS40" s="5"/>
      <c r="CT40" s="5"/>
      <c r="CU40" s="5"/>
      <c r="CV40" s="5"/>
      <c r="CW40" s="5"/>
      <c r="CX40" s="5"/>
      <c r="CY40" s="5"/>
      <c r="CZ40" s="5"/>
      <c r="DA40" s="5"/>
      <c r="DB40" s="5"/>
    </row>
    <row r="41" spans="1:106" s="1" customFormat="1" ht="40.15" customHeight="1" x14ac:dyDescent="0.25">
      <c r="A41" s="3"/>
      <c r="B41" s="34" t="s">
        <v>73</v>
      </c>
      <c r="C41" s="34" t="s">
        <v>4</v>
      </c>
      <c r="D41" s="34" t="s">
        <v>37</v>
      </c>
      <c r="E41" s="50">
        <v>1</v>
      </c>
      <c r="F41" s="40">
        <v>45973</v>
      </c>
      <c r="G41" s="57">
        <v>1</v>
      </c>
      <c r="H41" s="32" t="s">
        <v>88</v>
      </c>
      <c r="I41" s="32" t="s">
        <v>93</v>
      </c>
      <c r="J41" s="7"/>
      <c r="K41" s="5" t="str">
        <f t="shared" ref="K41:AP41" ca="1" si="60">IF(AND($C38="Objetivo",K$8&gt;=$F38,K$8&lt;=$F38+$G38-1),2,IF(AND($C38="Hito",K$8&gt;=$F38,K$8&lt;=$F38+$G38-1),1,""))</f>
        <v/>
      </c>
      <c r="L41" s="5" t="str">
        <f t="shared" ca="1" si="60"/>
        <v/>
      </c>
      <c r="M41" s="5" t="str">
        <f t="shared" ca="1" si="60"/>
        <v/>
      </c>
      <c r="N41" s="5" t="str">
        <f t="shared" ca="1" si="60"/>
        <v/>
      </c>
      <c r="O41" s="5" t="str">
        <f t="shared" ca="1" si="60"/>
        <v/>
      </c>
      <c r="P41" s="5" t="str">
        <f t="shared" ca="1" si="60"/>
        <v/>
      </c>
      <c r="Q41" s="5" t="str">
        <f t="shared" ca="1" si="60"/>
        <v/>
      </c>
      <c r="R41" s="5" t="str">
        <f t="shared" ca="1" si="60"/>
        <v/>
      </c>
      <c r="S41" s="5" t="str">
        <f t="shared" ca="1" si="60"/>
        <v/>
      </c>
      <c r="T41" s="5" t="str">
        <f t="shared" ca="1" si="60"/>
        <v/>
      </c>
      <c r="U41" s="5" t="str">
        <f t="shared" ca="1" si="60"/>
        <v/>
      </c>
      <c r="V41" s="5" t="str">
        <f t="shared" ca="1" si="60"/>
        <v/>
      </c>
      <c r="W41" s="5" t="str">
        <f t="shared" ca="1" si="60"/>
        <v/>
      </c>
      <c r="X41" s="5" t="str">
        <f t="shared" ca="1" si="60"/>
        <v/>
      </c>
      <c r="Y41" s="5" t="str">
        <f t="shared" ca="1" si="60"/>
        <v/>
      </c>
      <c r="Z41" s="5" t="str">
        <f t="shared" ca="1" si="60"/>
        <v/>
      </c>
      <c r="AA41" s="5" t="str">
        <f t="shared" ca="1" si="60"/>
        <v/>
      </c>
      <c r="AB41" s="5" t="str">
        <f t="shared" ca="1" si="60"/>
        <v/>
      </c>
      <c r="AC41" s="5" t="str">
        <f t="shared" ca="1" si="60"/>
        <v/>
      </c>
      <c r="AD41" s="5" t="str">
        <f t="shared" ca="1" si="60"/>
        <v/>
      </c>
      <c r="AE41" s="5" t="str">
        <f t="shared" ca="1" si="60"/>
        <v/>
      </c>
      <c r="AF41" s="5" t="str">
        <f t="shared" ca="1" si="60"/>
        <v/>
      </c>
      <c r="AG41" s="5" t="str">
        <f t="shared" ca="1" si="60"/>
        <v/>
      </c>
      <c r="AH41" s="5" t="str">
        <f t="shared" ca="1" si="60"/>
        <v/>
      </c>
      <c r="AI41" s="5" t="str">
        <f t="shared" ca="1" si="60"/>
        <v/>
      </c>
      <c r="AJ41" s="5" t="str">
        <f t="shared" ca="1" si="60"/>
        <v/>
      </c>
      <c r="AK41" s="5" t="str">
        <f t="shared" ca="1" si="60"/>
        <v/>
      </c>
      <c r="AL41" s="5" t="str">
        <f t="shared" ca="1" si="60"/>
        <v/>
      </c>
      <c r="AM41" s="5" t="str">
        <f t="shared" ca="1" si="60"/>
        <v/>
      </c>
      <c r="AN41" s="5" t="str">
        <f t="shared" ca="1" si="60"/>
        <v/>
      </c>
      <c r="AO41" s="5" t="str">
        <f t="shared" ca="1" si="60"/>
        <v/>
      </c>
      <c r="AP41" s="5" t="str">
        <f t="shared" ca="1" si="60"/>
        <v/>
      </c>
      <c r="AQ41" s="5" t="str">
        <f t="shared" ref="AQ41:BV41" ca="1" si="61">IF(AND($C38="Objetivo",AQ$8&gt;=$F38,AQ$8&lt;=$F38+$G38-1),2,IF(AND($C38="Hito",AQ$8&gt;=$F38,AQ$8&lt;=$F38+$G38-1),1,""))</f>
        <v/>
      </c>
      <c r="AR41" s="5" t="str">
        <f t="shared" ca="1" si="61"/>
        <v/>
      </c>
      <c r="AS41" s="5" t="str">
        <f t="shared" ca="1" si="61"/>
        <v/>
      </c>
      <c r="AT41" s="5" t="str">
        <f t="shared" ca="1" si="61"/>
        <v/>
      </c>
      <c r="AU41" s="5" t="str">
        <f t="shared" ca="1" si="61"/>
        <v/>
      </c>
      <c r="AV41" s="5" t="str">
        <f t="shared" ca="1" si="61"/>
        <v/>
      </c>
      <c r="AW41" s="5" t="str">
        <f t="shared" ca="1" si="61"/>
        <v/>
      </c>
      <c r="AX41" s="5" t="str">
        <f t="shared" ca="1" si="61"/>
        <v/>
      </c>
      <c r="AY41" s="5" t="str">
        <f t="shared" ca="1" si="61"/>
        <v/>
      </c>
      <c r="AZ41" s="5" t="str">
        <f t="shared" ca="1" si="61"/>
        <v/>
      </c>
      <c r="BA41" s="5" t="str">
        <f t="shared" ca="1" si="61"/>
        <v/>
      </c>
      <c r="BB41" s="5" t="str">
        <f t="shared" ca="1" si="61"/>
        <v/>
      </c>
      <c r="BC41" s="5" t="str">
        <f t="shared" ca="1" si="61"/>
        <v/>
      </c>
      <c r="BD41" s="5" t="str">
        <f t="shared" ca="1" si="61"/>
        <v/>
      </c>
      <c r="BE41" s="5" t="str">
        <f t="shared" ca="1" si="61"/>
        <v/>
      </c>
      <c r="BF41" s="5" t="str">
        <f t="shared" ca="1" si="61"/>
        <v/>
      </c>
      <c r="BG41" s="5" t="str">
        <f t="shared" ca="1" si="61"/>
        <v/>
      </c>
      <c r="BH41" s="5" t="str">
        <f t="shared" ca="1" si="61"/>
        <v/>
      </c>
      <c r="BI41" s="5" t="str">
        <f t="shared" ca="1" si="61"/>
        <v/>
      </c>
      <c r="BJ41" s="5" t="str">
        <f t="shared" ca="1" si="61"/>
        <v/>
      </c>
      <c r="BK41" s="5" t="str">
        <f t="shared" ca="1" si="61"/>
        <v/>
      </c>
      <c r="BL41" s="5" t="str">
        <f t="shared" ca="1" si="61"/>
        <v/>
      </c>
      <c r="BM41" s="5" t="str">
        <f t="shared" ca="1" si="61"/>
        <v/>
      </c>
      <c r="BN41" s="5" t="str">
        <f t="shared" ca="1" si="61"/>
        <v/>
      </c>
      <c r="BO41" s="5" t="str">
        <f t="shared" ca="1" si="61"/>
        <v/>
      </c>
      <c r="BP41" s="5" t="str">
        <f t="shared" ca="1" si="61"/>
        <v/>
      </c>
      <c r="BQ41" s="5" t="str">
        <f t="shared" ca="1" si="61"/>
        <v/>
      </c>
      <c r="BR41" s="5" t="str">
        <f t="shared" ca="1" si="61"/>
        <v/>
      </c>
      <c r="BS41" s="5" t="str">
        <f t="shared" ca="1" si="61"/>
        <v/>
      </c>
      <c r="BT41" s="5" t="str">
        <f t="shared" ca="1" si="61"/>
        <v/>
      </c>
      <c r="BU41" s="5" t="str">
        <f t="shared" ca="1" si="61"/>
        <v/>
      </c>
      <c r="BV41" s="5" t="str">
        <f t="shared" ca="1" si="61"/>
        <v/>
      </c>
      <c r="BW41" s="5" t="str">
        <f t="shared" ref="BW41:DB41" ca="1" si="62">IF(AND($C38="Objetivo",BW$8&gt;=$F38,BW$8&lt;=$F38+$G38-1),2,IF(AND($C38="Hito",BW$8&gt;=$F38,BW$8&lt;=$F38+$G38-1),1,""))</f>
        <v/>
      </c>
      <c r="BX41" s="5" t="str">
        <f t="shared" ca="1" si="62"/>
        <v/>
      </c>
      <c r="BY41" s="5" t="str">
        <f t="shared" ca="1" si="62"/>
        <v/>
      </c>
      <c r="BZ41" s="5" t="str">
        <f t="shared" ca="1" si="62"/>
        <v/>
      </c>
      <c r="CA41" s="5" t="str">
        <f t="shared" ca="1" si="62"/>
        <v/>
      </c>
      <c r="CB41" s="5" t="str">
        <f t="shared" ca="1" si="62"/>
        <v/>
      </c>
      <c r="CC41" s="5" t="str">
        <f t="shared" ca="1" si="62"/>
        <v/>
      </c>
      <c r="CD41" s="5" t="str">
        <f t="shared" ca="1" si="62"/>
        <v/>
      </c>
      <c r="CE41" s="5" t="str">
        <f t="shared" ca="1" si="62"/>
        <v/>
      </c>
      <c r="CF41" s="5" t="str">
        <f t="shared" ca="1" si="62"/>
        <v/>
      </c>
      <c r="CG41" s="5" t="str">
        <f t="shared" ca="1" si="62"/>
        <v/>
      </c>
      <c r="CH41" s="5" t="str">
        <f t="shared" ca="1" si="62"/>
        <v/>
      </c>
      <c r="CI41" s="5" t="str">
        <f t="shared" ca="1" si="62"/>
        <v/>
      </c>
      <c r="CJ41" s="5" t="str">
        <f t="shared" ca="1" si="62"/>
        <v/>
      </c>
      <c r="CK41" s="5" t="str">
        <f t="shared" ca="1" si="62"/>
        <v/>
      </c>
      <c r="CL41" s="5" t="str">
        <f t="shared" ca="1" si="62"/>
        <v/>
      </c>
      <c r="CM41" s="5" t="str">
        <f t="shared" ca="1" si="62"/>
        <v/>
      </c>
      <c r="CN41" s="5" t="str">
        <f t="shared" ca="1" si="62"/>
        <v/>
      </c>
      <c r="CO41" s="5" t="str">
        <f t="shared" ca="1" si="62"/>
        <v/>
      </c>
      <c r="CP41" s="5" t="str">
        <f t="shared" ca="1" si="62"/>
        <v/>
      </c>
      <c r="CQ41" s="5" t="str">
        <f t="shared" ca="1" si="62"/>
        <v/>
      </c>
      <c r="CR41" s="5" t="str">
        <f t="shared" ca="1" si="62"/>
        <v/>
      </c>
      <c r="CS41" s="5" t="str">
        <f t="shared" ca="1" si="62"/>
        <v/>
      </c>
      <c r="CT41" s="5" t="str">
        <f t="shared" ca="1" si="62"/>
        <v/>
      </c>
      <c r="CU41" s="5" t="str">
        <f t="shared" ca="1" si="62"/>
        <v/>
      </c>
      <c r="CV41" s="5" t="str">
        <f t="shared" ca="1" si="62"/>
        <v/>
      </c>
      <c r="CW41" s="5" t="str">
        <f t="shared" ca="1" si="62"/>
        <v/>
      </c>
      <c r="CX41" s="5" t="str">
        <f t="shared" ca="1" si="62"/>
        <v/>
      </c>
      <c r="CY41" s="5" t="str">
        <f t="shared" ca="1" si="62"/>
        <v/>
      </c>
      <c r="CZ41" s="5" t="str">
        <f t="shared" ca="1" si="62"/>
        <v/>
      </c>
      <c r="DA41" s="5" t="str">
        <f t="shared" ca="1" si="62"/>
        <v/>
      </c>
      <c r="DB41" s="5" t="str">
        <f t="shared" ca="1" si="62"/>
        <v/>
      </c>
    </row>
    <row r="42" spans="1:106" s="1" customFormat="1" ht="40.15" customHeight="1" x14ac:dyDescent="0.25">
      <c r="A42" s="3"/>
      <c r="B42" s="41" t="s">
        <v>74</v>
      </c>
      <c r="C42" s="34" t="s">
        <v>4</v>
      </c>
      <c r="D42" s="34" t="s">
        <v>70</v>
      </c>
      <c r="E42" s="50">
        <v>1</v>
      </c>
      <c r="F42" s="40">
        <v>45974</v>
      </c>
      <c r="G42" s="57">
        <v>1</v>
      </c>
      <c r="H42" s="32" t="s">
        <v>90</v>
      </c>
      <c r="I42" s="32" t="s">
        <v>95</v>
      </c>
      <c r="J42" s="7"/>
      <c r="K42" s="5" t="str">
        <f t="shared" ref="K42:AP42" ca="1" si="63">IF(AND($C42="Objetivo",K$8&gt;=$F42,K$8&lt;=$F42+$G42-1),2,IF(AND($C42="Hito",K$8&gt;=$F42,K$8&lt;=$F42+$G42-1),1,""))</f>
        <v/>
      </c>
      <c r="L42" s="5" t="str">
        <f t="shared" ca="1" si="63"/>
        <v/>
      </c>
      <c r="M42" s="5" t="str">
        <f t="shared" ca="1" si="63"/>
        <v/>
      </c>
      <c r="N42" s="5" t="str">
        <f t="shared" ca="1" si="63"/>
        <v/>
      </c>
      <c r="O42" s="5" t="str">
        <f t="shared" ca="1" si="63"/>
        <v/>
      </c>
      <c r="P42" s="5" t="str">
        <f t="shared" ca="1" si="63"/>
        <v/>
      </c>
      <c r="Q42" s="5" t="str">
        <f t="shared" ca="1" si="63"/>
        <v/>
      </c>
      <c r="R42" s="5" t="str">
        <f t="shared" ca="1" si="63"/>
        <v/>
      </c>
      <c r="S42" s="5" t="str">
        <f t="shared" ca="1" si="63"/>
        <v/>
      </c>
      <c r="T42" s="5" t="str">
        <f t="shared" ca="1" si="63"/>
        <v/>
      </c>
      <c r="U42" s="5" t="str">
        <f t="shared" ca="1" si="63"/>
        <v/>
      </c>
      <c r="V42" s="5" t="str">
        <f t="shared" ca="1" si="63"/>
        <v/>
      </c>
      <c r="W42" s="5" t="str">
        <f t="shared" ca="1" si="63"/>
        <v/>
      </c>
      <c r="X42" s="5" t="str">
        <f t="shared" ca="1" si="63"/>
        <v/>
      </c>
      <c r="Y42" s="5" t="str">
        <f t="shared" ca="1" si="63"/>
        <v/>
      </c>
      <c r="Z42" s="5" t="str">
        <f t="shared" ca="1" si="63"/>
        <v/>
      </c>
      <c r="AA42" s="5" t="str">
        <f t="shared" ca="1" si="63"/>
        <v/>
      </c>
      <c r="AB42" s="5" t="str">
        <f t="shared" ca="1" si="63"/>
        <v/>
      </c>
      <c r="AC42" s="5" t="str">
        <f t="shared" ca="1" si="63"/>
        <v/>
      </c>
      <c r="AD42" s="5" t="str">
        <f t="shared" ca="1" si="63"/>
        <v/>
      </c>
      <c r="AE42" s="5" t="str">
        <f t="shared" ca="1" si="63"/>
        <v/>
      </c>
      <c r="AF42" s="5" t="str">
        <f t="shared" ca="1" si="63"/>
        <v/>
      </c>
      <c r="AG42" s="5" t="str">
        <f t="shared" ca="1" si="63"/>
        <v/>
      </c>
      <c r="AH42" s="5" t="str">
        <f t="shared" ca="1" si="63"/>
        <v/>
      </c>
      <c r="AI42" s="5" t="str">
        <f t="shared" ca="1" si="63"/>
        <v/>
      </c>
      <c r="AJ42" s="5" t="str">
        <f t="shared" ca="1" si="63"/>
        <v/>
      </c>
      <c r="AK42" s="5" t="str">
        <f t="shared" ca="1" si="63"/>
        <v/>
      </c>
      <c r="AL42" s="5" t="str">
        <f t="shared" ca="1" si="63"/>
        <v/>
      </c>
      <c r="AM42" s="5" t="str">
        <f t="shared" ca="1" si="63"/>
        <v/>
      </c>
      <c r="AN42" s="5" t="str">
        <f t="shared" ca="1" si="63"/>
        <v/>
      </c>
      <c r="AO42" s="5" t="str">
        <f t="shared" ca="1" si="63"/>
        <v/>
      </c>
      <c r="AP42" s="5" t="str">
        <f t="shared" ca="1" si="63"/>
        <v/>
      </c>
      <c r="AQ42" s="5" t="str">
        <f t="shared" ref="AQ42:BV42" ca="1" si="64">IF(AND($C42="Objetivo",AQ$8&gt;=$F42,AQ$8&lt;=$F42+$G42-1),2,IF(AND($C42="Hito",AQ$8&gt;=$F42,AQ$8&lt;=$F42+$G42-1),1,""))</f>
        <v/>
      </c>
      <c r="AR42" s="5" t="str">
        <f t="shared" ca="1" si="64"/>
        <v/>
      </c>
      <c r="AS42" s="5" t="str">
        <f t="shared" ca="1" si="64"/>
        <v/>
      </c>
      <c r="AT42" s="5" t="str">
        <f t="shared" ca="1" si="64"/>
        <v/>
      </c>
      <c r="AU42" s="5" t="str">
        <f t="shared" ca="1" si="64"/>
        <v/>
      </c>
      <c r="AV42" s="5" t="str">
        <f t="shared" ca="1" si="64"/>
        <v/>
      </c>
      <c r="AW42" s="5" t="str">
        <f t="shared" ca="1" si="64"/>
        <v/>
      </c>
      <c r="AX42" s="5" t="str">
        <f t="shared" ca="1" si="64"/>
        <v/>
      </c>
      <c r="AY42" s="5" t="str">
        <f t="shared" ca="1" si="64"/>
        <v/>
      </c>
      <c r="AZ42" s="5" t="str">
        <f t="shared" ca="1" si="64"/>
        <v/>
      </c>
      <c r="BA42" s="5" t="str">
        <f t="shared" ca="1" si="64"/>
        <v/>
      </c>
      <c r="BB42" s="5" t="str">
        <f t="shared" ca="1" si="64"/>
        <v/>
      </c>
      <c r="BC42" s="5" t="str">
        <f t="shared" ca="1" si="64"/>
        <v/>
      </c>
      <c r="BD42" s="5" t="str">
        <f t="shared" ca="1" si="64"/>
        <v/>
      </c>
      <c r="BE42" s="5" t="str">
        <f t="shared" ca="1" si="64"/>
        <v/>
      </c>
      <c r="BF42" s="5" t="str">
        <f t="shared" ca="1" si="64"/>
        <v/>
      </c>
      <c r="BG42" s="5" t="str">
        <f t="shared" ca="1" si="64"/>
        <v/>
      </c>
      <c r="BH42" s="5" t="str">
        <f t="shared" ca="1" si="64"/>
        <v/>
      </c>
      <c r="BI42" s="5" t="str">
        <f t="shared" ca="1" si="64"/>
        <v/>
      </c>
      <c r="BJ42" s="5" t="str">
        <f t="shared" ca="1" si="64"/>
        <v/>
      </c>
      <c r="BK42" s="5" t="str">
        <f t="shared" ca="1" si="64"/>
        <v/>
      </c>
      <c r="BL42" s="5" t="str">
        <f t="shared" ca="1" si="64"/>
        <v/>
      </c>
      <c r="BM42" s="5" t="str">
        <f t="shared" ca="1" si="64"/>
        <v/>
      </c>
      <c r="BN42" s="5" t="str">
        <f t="shared" ca="1" si="64"/>
        <v/>
      </c>
      <c r="BO42" s="5" t="str">
        <f t="shared" ca="1" si="64"/>
        <v/>
      </c>
      <c r="BP42" s="5" t="str">
        <f t="shared" ca="1" si="64"/>
        <v/>
      </c>
      <c r="BQ42" s="5" t="str">
        <f t="shared" ca="1" si="64"/>
        <v/>
      </c>
      <c r="BR42" s="5" t="str">
        <f t="shared" ca="1" si="64"/>
        <v/>
      </c>
      <c r="BS42" s="5" t="str">
        <f t="shared" ca="1" si="64"/>
        <v/>
      </c>
      <c r="BT42" s="5" t="str">
        <f t="shared" ca="1" si="64"/>
        <v/>
      </c>
      <c r="BU42" s="5" t="str">
        <f t="shared" ca="1" si="64"/>
        <v/>
      </c>
      <c r="BV42" s="5" t="str">
        <f t="shared" ca="1" si="64"/>
        <v/>
      </c>
      <c r="BW42" s="5" t="str">
        <f t="shared" ref="BW42:DB42" ca="1" si="65">IF(AND($C42="Objetivo",BW$8&gt;=$F42,BW$8&lt;=$F42+$G42-1),2,IF(AND($C42="Hito",BW$8&gt;=$F42,BW$8&lt;=$F42+$G42-1),1,""))</f>
        <v/>
      </c>
      <c r="BX42" s="5" t="str">
        <f t="shared" ca="1" si="65"/>
        <v/>
      </c>
      <c r="BY42" s="5" t="str">
        <f t="shared" ca="1" si="65"/>
        <v/>
      </c>
      <c r="BZ42" s="5" t="str">
        <f t="shared" ca="1" si="65"/>
        <v/>
      </c>
      <c r="CA42" s="5" t="str">
        <f t="shared" ca="1" si="65"/>
        <v/>
      </c>
      <c r="CB42" s="5" t="str">
        <f t="shared" ca="1" si="65"/>
        <v/>
      </c>
      <c r="CC42" s="5" t="str">
        <f t="shared" ca="1" si="65"/>
        <v/>
      </c>
      <c r="CD42" s="5" t="str">
        <f t="shared" ca="1" si="65"/>
        <v/>
      </c>
      <c r="CE42" s="5" t="str">
        <f t="shared" ca="1" si="65"/>
        <v/>
      </c>
      <c r="CF42" s="5" t="str">
        <f t="shared" ca="1" si="65"/>
        <v/>
      </c>
      <c r="CG42" s="5" t="str">
        <f t="shared" ca="1" si="65"/>
        <v/>
      </c>
      <c r="CH42" s="5" t="str">
        <f t="shared" ca="1" si="65"/>
        <v/>
      </c>
      <c r="CI42" s="5" t="str">
        <f t="shared" ca="1" si="65"/>
        <v/>
      </c>
      <c r="CJ42" s="5" t="str">
        <f t="shared" ca="1" si="65"/>
        <v/>
      </c>
      <c r="CK42" s="5" t="str">
        <f t="shared" ca="1" si="65"/>
        <v/>
      </c>
      <c r="CL42" s="5" t="str">
        <f t="shared" ca="1" si="65"/>
        <v/>
      </c>
      <c r="CM42" s="5" t="str">
        <f t="shared" ca="1" si="65"/>
        <v/>
      </c>
      <c r="CN42" s="5" t="str">
        <f t="shared" ca="1" si="65"/>
        <v/>
      </c>
      <c r="CO42" s="5" t="str">
        <f t="shared" ca="1" si="65"/>
        <v/>
      </c>
      <c r="CP42" s="5" t="str">
        <f t="shared" ca="1" si="65"/>
        <v/>
      </c>
      <c r="CQ42" s="5" t="str">
        <f t="shared" ca="1" si="65"/>
        <v/>
      </c>
      <c r="CR42" s="5" t="str">
        <f t="shared" ca="1" si="65"/>
        <v/>
      </c>
      <c r="CS42" s="5" t="str">
        <f t="shared" ca="1" si="65"/>
        <v/>
      </c>
      <c r="CT42" s="5" t="str">
        <f t="shared" ca="1" si="65"/>
        <v/>
      </c>
      <c r="CU42" s="5" t="str">
        <f t="shared" ca="1" si="65"/>
        <v/>
      </c>
      <c r="CV42" s="5" t="str">
        <f t="shared" ca="1" si="65"/>
        <v/>
      </c>
      <c r="CW42" s="5" t="str">
        <f t="shared" ca="1" si="65"/>
        <v/>
      </c>
      <c r="CX42" s="5" t="str">
        <f t="shared" ca="1" si="65"/>
        <v/>
      </c>
      <c r="CY42" s="5" t="str">
        <f t="shared" ca="1" si="65"/>
        <v/>
      </c>
      <c r="CZ42" s="5" t="str">
        <f t="shared" ca="1" si="65"/>
        <v/>
      </c>
      <c r="DA42" s="5" t="str">
        <f t="shared" ca="1" si="65"/>
        <v/>
      </c>
      <c r="DB42" s="5" t="str">
        <f t="shared" ca="1" si="65"/>
        <v/>
      </c>
    </row>
    <row r="43" spans="1:106" s="1" customFormat="1" ht="40.15" customHeight="1" x14ac:dyDescent="0.25">
      <c r="A43" s="3"/>
      <c r="B43" s="41"/>
      <c r="C43" s="34"/>
      <c r="D43" s="34"/>
      <c r="E43" s="50"/>
      <c r="F43" s="40"/>
      <c r="G43" s="57"/>
      <c r="H43" s="29"/>
      <c r="I43" s="29"/>
      <c r="J43" s="7"/>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t="str">
        <f t="shared" ref="BO43:BX50" ca="1" si="66">IF(AND($C43="Objetivo",BO$8&gt;=$F43,BO$8&lt;=$F43+$G43-1),2,IF(AND($C43="Hito",BO$8&gt;=$F43,BO$8&lt;=$F43+$G43-1),1,""))</f>
        <v/>
      </c>
      <c r="BP43" s="5" t="str">
        <f t="shared" ca="1" si="66"/>
        <v/>
      </c>
      <c r="BQ43" s="5" t="str">
        <f t="shared" ca="1" si="66"/>
        <v/>
      </c>
      <c r="BR43" s="5" t="str">
        <f t="shared" ca="1" si="66"/>
        <v/>
      </c>
      <c r="BS43" s="5" t="str">
        <f t="shared" ca="1" si="66"/>
        <v/>
      </c>
      <c r="BT43" s="5" t="str">
        <f t="shared" ca="1" si="66"/>
        <v/>
      </c>
      <c r="BU43" s="5" t="str">
        <f t="shared" ca="1" si="66"/>
        <v/>
      </c>
      <c r="BV43" s="5" t="str">
        <f t="shared" ca="1" si="66"/>
        <v/>
      </c>
      <c r="BW43" s="5" t="str">
        <f t="shared" ca="1" si="66"/>
        <v/>
      </c>
      <c r="BX43" s="5" t="str">
        <f t="shared" ca="1" si="66"/>
        <v/>
      </c>
      <c r="BY43" s="5" t="str">
        <f t="shared" ref="BY43:CH50" ca="1" si="67">IF(AND($C43="Objetivo",BY$8&gt;=$F43,BY$8&lt;=$F43+$G43-1),2,IF(AND($C43="Hito",BY$8&gt;=$F43,BY$8&lt;=$F43+$G43-1),1,""))</f>
        <v/>
      </c>
      <c r="BZ43" s="5" t="str">
        <f t="shared" ca="1" si="67"/>
        <v/>
      </c>
      <c r="CA43" s="5" t="str">
        <f t="shared" ca="1" si="67"/>
        <v/>
      </c>
      <c r="CB43" s="5" t="str">
        <f t="shared" ca="1" si="67"/>
        <v/>
      </c>
      <c r="CC43" s="5" t="str">
        <f t="shared" ca="1" si="67"/>
        <v/>
      </c>
      <c r="CD43" s="5" t="str">
        <f t="shared" ca="1" si="67"/>
        <v/>
      </c>
      <c r="CE43" s="5" t="str">
        <f t="shared" ca="1" si="67"/>
        <v/>
      </c>
      <c r="CF43" s="5" t="str">
        <f t="shared" ca="1" si="67"/>
        <v/>
      </c>
      <c r="CG43" s="5" t="str">
        <f t="shared" ca="1" si="67"/>
        <v/>
      </c>
      <c r="CH43" s="5" t="str">
        <f t="shared" ca="1" si="67"/>
        <v/>
      </c>
      <c r="CI43" s="5" t="str">
        <f t="shared" ref="CI43:CR50" ca="1" si="68">IF(AND($C43="Objetivo",CI$8&gt;=$F43,CI$8&lt;=$F43+$G43-1),2,IF(AND($C43="Hito",CI$8&gt;=$F43,CI$8&lt;=$F43+$G43-1),1,""))</f>
        <v/>
      </c>
      <c r="CJ43" s="5" t="str">
        <f t="shared" ca="1" si="68"/>
        <v/>
      </c>
      <c r="CK43" s="5" t="str">
        <f t="shared" ca="1" si="68"/>
        <v/>
      </c>
      <c r="CL43" s="5" t="str">
        <f t="shared" ca="1" si="68"/>
        <v/>
      </c>
      <c r="CM43" s="5" t="str">
        <f t="shared" ca="1" si="68"/>
        <v/>
      </c>
      <c r="CN43" s="5" t="str">
        <f t="shared" ca="1" si="68"/>
        <v/>
      </c>
      <c r="CO43" s="5" t="str">
        <f t="shared" ca="1" si="68"/>
        <v/>
      </c>
      <c r="CP43" s="5" t="str">
        <f t="shared" ca="1" si="68"/>
        <v/>
      </c>
      <c r="CQ43" s="5" t="str">
        <f t="shared" ca="1" si="68"/>
        <v/>
      </c>
      <c r="CR43" s="5" t="str">
        <f t="shared" ca="1" si="68"/>
        <v/>
      </c>
      <c r="CS43" s="5" t="str">
        <f t="shared" ref="CS43:DB50" ca="1" si="69">IF(AND($C43="Objetivo",CS$8&gt;=$F43,CS$8&lt;=$F43+$G43-1),2,IF(AND($C43="Hito",CS$8&gt;=$F43,CS$8&lt;=$F43+$G43-1),1,""))</f>
        <v/>
      </c>
      <c r="CT43" s="5" t="str">
        <f t="shared" ca="1" si="69"/>
        <v/>
      </c>
      <c r="CU43" s="5" t="str">
        <f t="shared" ca="1" si="69"/>
        <v/>
      </c>
      <c r="CV43" s="5" t="str">
        <f t="shared" ca="1" si="69"/>
        <v/>
      </c>
      <c r="CW43" s="5" t="str">
        <f t="shared" ca="1" si="69"/>
        <v/>
      </c>
      <c r="CX43" s="5" t="str">
        <f t="shared" ca="1" si="69"/>
        <v/>
      </c>
      <c r="CY43" s="5" t="str">
        <f t="shared" ca="1" si="69"/>
        <v/>
      </c>
      <c r="CZ43" s="5" t="str">
        <f t="shared" ca="1" si="69"/>
        <v/>
      </c>
      <c r="DA43" s="5" t="str">
        <f t="shared" ca="1" si="69"/>
        <v/>
      </c>
      <c r="DB43" s="5" t="str">
        <f t="shared" ca="1" si="69"/>
        <v/>
      </c>
    </row>
    <row r="44" spans="1:106" s="1" customFormat="1" ht="40.15" customHeight="1" x14ac:dyDescent="0.25">
      <c r="A44" s="3"/>
      <c r="B44" s="41"/>
      <c r="C44" s="34"/>
      <c r="D44" s="34"/>
      <c r="E44" s="50"/>
      <c r="F44" s="40"/>
      <c r="G44" s="57"/>
      <c r="H44" s="29"/>
      <c r="I44" s="29"/>
      <c r="J44" s="7"/>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t="str">
        <f t="shared" ca="1" si="66"/>
        <v/>
      </c>
      <c r="BP44" s="5" t="str">
        <f t="shared" ca="1" si="66"/>
        <v/>
      </c>
      <c r="BQ44" s="5" t="str">
        <f t="shared" ca="1" si="66"/>
        <v/>
      </c>
      <c r="BR44" s="5" t="str">
        <f t="shared" ca="1" si="66"/>
        <v/>
      </c>
      <c r="BS44" s="5" t="str">
        <f t="shared" ca="1" si="66"/>
        <v/>
      </c>
      <c r="BT44" s="5" t="str">
        <f t="shared" ca="1" si="66"/>
        <v/>
      </c>
      <c r="BU44" s="5" t="str">
        <f t="shared" ca="1" si="66"/>
        <v/>
      </c>
      <c r="BV44" s="5" t="str">
        <f t="shared" ca="1" si="66"/>
        <v/>
      </c>
      <c r="BW44" s="5" t="str">
        <f t="shared" ca="1" si="66"/>
        <v/>
      </c>
      <c r="BX44" s="5" t="str">
        <f t="shared" ca="1" si="66"/>
        <v/>
      </c>
      <c r="BY44" s="5" t="str">
        <f t="shared" ca="1" si="67"/>
        <v/>
      </c>
      <c r="BZ44" s="5" t="str">
        <f t="shared" ca="1" si="67"/>
        <v/>
      </c>
      <c r="CA44" s="5" t="str">
        <f t="shared" ca="1" si="67"/>
        <v/>
      </c>
      <c r="CB44" s="5" t="str">
        <f t="shared" ca="1" si="67"/>
        <v/>
      </c>
      <c r="CC44" s="5" t="str">
        <f t="shared" ca="1" si="67"/>
        <v/>
      </c>
      <c r="CD44" s="5" t="str">
        <f t="shared" ca="1" si="67"/>
        <v/>
      </c>
      <c r="CE44" s="5" t="str">
        <f t="shared" ca="1" si="67"/>
        <v/>
      </c>
      <c r="CF44" s="5" t="str">
        <f t="shared" ca="1" si="67"/>
        <v/>
      </c>
      <c r="CG44" s="5" t="str">
        <f t="shared" ca="1" si="67"/>
        <v/>
      </c>
      <c r="CH44" s="5" t="str">
        <f t="shared" ca="1" si="67"/>
        <v/>
      </c>
      <c r="CI44" s="5" t="str">
        <f t="shared" ca="1" si="68"/>
        <v/>
      </c>
      <c r="CJ44" s="5" t="str">
        <f t="shared" ca="1" si="68"/>
        <v/>
      </c>
      <c r="CK44" s="5" t="str">
        <f t="shared" ca="1" si="68"/>
        <v/>
      </c>
      <c r="CL44" s="5" t="str">
        <f t="shared" ca="1" si="68"/>
        <v/>
      </c>
      <c r="CM44" s="5" t="str">
        <f t="shared" ca="1" si="68"/>
        <v/>
      </c>
      <c r="CN44" s="5" t="str">
        <f t="shared" ca="1" si="68"/>
        <v/>
      </c>
      <c r="CO44" s="5" t="str">
        <f t="shared" ca="1" si="68"/>
        <v/>
      </c>
      <c r="CP44" s="5" t="str">
        <f t="shared" ca="1" si="68"/>
        <v/>
      </c>
      <c r="CQ44" s="5" t="str">
        <f t="shared" ca="1" si="68"/>
        <v/>
      </c>
      <c r="CR44" s="5" t="str">
        <f t="shared" ca="1" si="68"/>
        <v/>
      </c>
      <c r="CS44" s="5" t="str">
        <f t="shared" ca="1" si="69"/>
        <v/>
      </c>
      <c r="CT44" s="5" t="str">
        <f t="shared" ca="1" si="69"/>
        <v/>
      </c>
      <c r="CU44" s="5" t="str">
        <f t="shared" ca="1" si="69"/>
        <v/>
      </c>
      <c r="CV44" s="5" t="str">
        <f t="shared" ca="1" si="69"/>
        <v/>
      </c>
      <c r="CW44" s="5" t="str">
        <f t="shared" ca="1" si="69"/>
        <v/>
      </c>
      <c r="CX44" s="5" t="str">
        <f t="shared" ca="1" si="69"/>
        <v/>
      </c>
      <c r="CY44" s="5" t="str">
        <f t="shared" ca="1" si="69"/>
        <v/>
      </c>
      <c r="CZ44" s="5" t="str">
        <f t="shared" ca="1" si="69"/>
        <v/>
      </c>
      <c r="DA44" s="5" t="str">
        <f t="shared" ca="1" si="69"/>
        <v/>
      </c>
      <c r="DB44" s="5" t="str">
        <f t="shared" ca="1" si="69"/>
        <v/>
      </c>
    </row>
    <row r="45" spans="1:106" s="1" customFormat="1" ht="40.15" customHeight="1" x14ac:dyDescent="0.25">
      <c r="A45" s="3"/>
      <c r="B45" s="41"/>
      <c r="C45" s="34"/>
      <c r="D45" s="34"/>
      <c r="E45" s="50"/>
      <c r="F45" s="40"/>
      <c r="G45" s="57"/>
      <c r="H45" s="29"/>
      <c r="I45" s="29"/>
      <c r="J45" s="7"/>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t="str">
        <f t="shared" ca="1" si="66"/>
        <v/>
      </c>
      <c r="BP45" s="5" t="str">
        <f t="shared" ca="1" si="66"/>
        <v/>
      </c>
      <c r="BQ45" s="5" t="str">
        <f t="shared" ca="1" si="66"/>
        <v/>
      </c>
      <c r="BR45" s="5" t="str">
        <f t="shared" ca="1" si="66"/>
        <v/>
      </c>
      <c r="BS45" s="5" t="str">
        <f t="shared" ca="1" si="66"/>
        <v/>
      </c>
      <c r="BT45" s="5" t="str">
        <f t="shared" ca="1" si="66"/>
        <v/>
      </c>
      <c r="BU45" s="5" t="str">
        <f t="shared" ca="1" si="66"/>
        <v/>
      </c>
      <c r="BV45" s="5" t="str">
        <f t="shared" ca="1" si="66"/>
        <v/>
      </c>
      <c r="BW45" s="5" t="str">
        <f t="shared" ca="1" si="66"/>
        <v/>
      </c>
      <c r="BX45" s="5" t="str">
        <f t="shared" ca="1" si="66"/>
        <v/>
      </c>
      <c r="BY45" s="5" t="str">
        <f t="shared" ca="1" si="67"/>
        <v/>
      </c>
      <c r="BZ45" s="5" t="str">
        <f t="shared" ca="1" si="67"/>
        <v/>
      </c>
      <c r="CA45" s="5" t="str">
        <f t="shared" ca="1" si="67"/>
        <v/>
      </c>
      <c r="CB45" s="5" t="str">
        <f t="shared" ca="1" si="67"/>
        <v/>
      </c>
      <c r="CC45" s="5" t="str">
        <f t="shared" ca="1" si="67"/>
        <v/>
      </c>
      <c r="CD45" s="5" t="str">
        <f t="shared" ca="1" si="67"/>
        <v/>
      </c>
      <c r="CE45" s="5" t="str">
        <f t="shared" ca="1" si="67"/>
        <v/>
      </c>
      <c r="CF45" s="5" t="str">
        <f t="shared" ca="1" si="67"/>
        <v/>
      </c>
      <c r="CG45" s="5" t="str">
        <f t="shared" ca="1" si="67"/>
        <v/>
      </c>
      <c r="CH45" s="5" t="str">
        <f t="shared" ca="1" si="67"/>
        <v/>
      </c>
      <c r="CI45" s="5" t="str">
        <f t="shared" ca="1" si="68"/>
        <v/>
      </c>
      <c r="CJ45" s="5" t="str">
        <f t="shared" ca="1" si="68"/>
        <v/>
      </c>
      <c r="CK45" s="5" t="str">
        <f t="shared" ca="1" si="68"/>
        <v/>
      </c>
      <c r="CL45" s="5" t="str">
        <f t="shared" ca="1" si="68"/>
        <v/>
      </c>
      <c r="CM45" s="5" t="str">
        <f t="shared" ca="1" si="68"/>
        <v/>
      </c>
      <c r="CN45" s="5" t="str">
        <f t="shared" ca="1" si="68"/>
        <v/>
      </c>
      <c r="CO45" s="5" t="str">
        <f t="shared" ca="1" si="68"/>
        <v/>
      </c>
      <c r="CP45" s="5" t="str">
        <f t="shared" ca="1" si="68"/>
        <v/>
      </c>
      <c r="CQ45" s="5" t="str">
        <f t="shared" ca="1" si="68"/>
        <v/>
      </c>
      <c r="CR45" s="5" t="str">
        <f t="shared" ca="1" si="68"/>
        <v/>
      </c>
      <c r="CS45" s="5" t="str">
        <f t="shared" ca="1" si="69"/>
        <v/>
      </c>
      <c r="CT45" s="5" t="str">
        <f t="shared" ca="1" si="69"/>
        <v/>
      </c>
      <c r="CU45" s="5" t="str">
        <f t="shared" ca="1" si="69"/>
        <v/>
      </c>
      <c r="CV45" s="5" t="str">
        <f t="shared" ca="1" si="69"/>
        <v/>
      </c>
      <c r="CW45" s="5" t="str">
        <f t="shared" ca="1" si="69"/>
        <v/>
      </c>
      <c r="CX45" s="5" t="str">
        <f t="shared" ca="1" si="69"/>
        <v/>
      </c>
      <c r="CY45" s="5" t="str">
        <f t="shared" ca="1" si="69"/>
        <v/>
      </c>
      <c r="CZ45" s="5" t="str">
        <f t="shared" ca="1" si="69"/>
        <v/>
      </c>
      <c r="DA45" s="5" t="str">
        <f t="shared" ca="1" si="69"/>
        <v/>
      </c>
      <c r="DB45" s="5" t="str">
        <f t="shared" ca="1" si="69"/>
        <v/>
      </c>
    </row>
    <row r="46" spans="1:106" s="1" customFormat="1" ht="40.15" customHeight="1" x14ac:dyDescent="0.25">
      <c r="A46" s="3"/>
      <c r="B46" s="34"/>
      <c r="C46" s="34"/>
      <c r="D46" s="34"/>
      <c r="E46" s="50"/>
      <c r="F46" s="40"/>
      <c r="G46" s="57"/>
      <c r="H46" s="29"/>
      <c r="I46" s="29"/>
      <c r="J46" s="7"/>
      <c r="K46" s="5" t="str">
        <f t="shared" ref="K46:T50" ca="1" si="70">IF(AND($C46="Objetivo",K$8&gt;=$F46,K$8&lt;=$F46+$G46-1),2,IF(AND($C46="Hito",K$8&gt;=$F46,K$8&lt;=$F46+$G46-1),1,""))</f>
        <v/>
      </c>
      <c r="L46" s="5" t="str">
        <f t="shared" ca="1" si="70"/>
        <v/>
      </c>
      <c r="M46" s="5" t="str">
        <f t="shared" ca="1" si="70"/>
        <v/>
      </c>
      <c r="N46" s="5" t="str">
        <f t="shared" ca="1" si="70"/>
        <v/>
      </c>
      <c r="O46" s="5" t="str">
        <f t="shared" ca="1" si="70"/>
        <v/>
      </c>
      <c r="P46" s="5" t="str">
        <f t="shared" ca="1" si="70"/>
        <v/>
      </c>
      <c r="Q46" s="5" t="str">
        <f t="shared" ca="1" si="70"/>
        <v/>
      </c>
      <c r="R46" s="5" t="str">
        <f t="shared" ca="1" si="70"/>
        <v/>
      </c>
      <c r="S46" s="5" t="str">
        <f t="shared" ca="1" si="70"/>
        <v/>
      </c>
      <c r="T46" s="5" t="str">
        <f t="shared" ca="1" si="70"/>
        <v/>
      </c>
      <c r="U46" s="5" t="str">
        <f t="shared" ref="U46:AD50" ca="1" si="71">IF(AND($C46="Objetivo",U$8&gt;=$F46,U$8&lt;=$F46+$G46-1),2,IF(AND($C46="Hito",U$8&gt;=$F46,U$8&lt;=$F46+$G46-1),1,""))</f>
        <v/>
      </c>
      <c r="V46" s="5" t="str">
        <f t="shared" ca="1" si="71"/>
        <v/>
      </c>
      <c r="W46" s="5" t="str">
        <f t="shared" ca="1" si="71"/>
        <v/>
      </c>
      <c r="X46" s="5" t="str">
        <f t="shared" ca="1" si="71"/>
        <v/>
      </c>
      <c r="Y46" s="5" t="str">
        <f t="shared" ca="1" si="71"/>
        <v/>
      </c>
      <c r="Z46" s="5" t="str">
        <f t="shared" ca="1" si="71"/>
        <v/>
      </c>
      <c r="AA46" s="5" t="str">
        <f t="shared" ca="1" si="71"/>
        <v/>
      </c>
      <c r="AB46" s="5" t="str">
        <f t="shared" ca="1" si="71"/>
        <v/>
      </c>
      <c r="AC46" s="5" t="str">
        <f t="shared" ca="1" si="71"/>
        <v/>
      </c>
      <c r="AD46" s="5" t="str">
        <f t="shared" ca="1" si="71"/>
        <v/>
      </c>
      <c r="AE46" s="5" t="str">
        <f t="shared" ref="AE46:AN50" ca="1" si="72">IF(AND($C46="Objetivo",AE$8&gt;=$F46,AE$8&lt;=$F46+$G46-1),2,IF(AND($C46="Hito",AE$8&gt;=$F46,AE$8&lt;=$F46+$G46-1),1,""))</f>
        <v/>
      </c>
      <c r="AF46" s="5" t="str">
        <f t="shared" ca="1" si="72"/>
        <v/>
      </c>
      <c r="AG46" s="5" t="str">
        <f t="shared" ca="1" si="72"/>
        <v/>
      </c>
      <c r="AH46" s="5" t="str">
        <f t="shared" ca="1" si="72"/>
        <v/>
      </c>
      <c r="AI46" s="5" t="str">
        <f t="shared" ca="1" si="72"/>
        <v/>
      </c>
      <c r="AJ46" s="5" t="str">
        <f t="shared" ca="1" si="72"/>
        <v/>
      </c>
      <c r="AK46" s="5" t="str">
        <f t="shared" ca="1" si="72"/>
        <v/>
      </c>
      <c r="AL46" s="5" t="str">
        <f t="shared" ca="1" si="72"/>
        <v/>
      </c>
      <c r="AM46" s="5" t="str">
        <f t="shared" ca="1" si="72"/>
        <v/>
      </c>
      <c r="AN46" s="5" t="str">
        <f t="shared" ca="1" si="72"/>
        <v/>
      </c>
      <c r="AO46" s="5" t="str">
        <f t="shared" ref="AO46:AX50" ca="1" si="73">IF(AND($C46="Objetivo",AO$8&gt;=$F46,AO$8&lt;=$F46+$G46-1),2,IF(AND($C46="Hito",AO$8&gt;=$F46,AO$8&lt;=$F46+$G46-1),1,""))</f>
        <v/>
      </c>
      <c r="AP46" s="5" t="str">
        <f t="shared" ca="1" si="73"/>
        <v/>
      </c>
      <c r="AQ46" s="5" t="str">
        <f t="shared" ca="1" si="73"/>
        <v/>
      </c>
      <c r="AR46" s="5" t="str">
        <f t="shared" ca="1" si="73"/>
        <v/>
      </c>
      <c r="AS46" s="5" t="str">
        <f t="shared" ca="1" si="73"/>
        <v/>
      </c>
      <c r="AT46" s="5" t="str">
        <f t="shared" ca="1" si="73"/>
        <v/>
      </c>
      <c r="AU46" s="5" t="str">
        <f t="shared" ca="1" si="73"/>
        <v/>
      </c>
      <c r="AV46" s="5" t="str">
        <f t="shared" ca="1" si="73"/>
        <v/>
      </c>
      <c r="AW46" s="5" t="str">
        <f t="shared" ca="1" si="73"/>
        <v/>
      </c>
      <c r="AX46" s="5" t="str">
        <f t="shared" ca="1" si="73"/>
        <v/>
      </c>
      <c r="AY46" s="5" t="str">
        <f t="shared" ref="AY46:BH50" ca="1" si="74">IF(AND($C46="Objetivo",AY$8&gt;=$F46,AY$8&lt;=$F46+$G46-1),2,IF(AND($C46="Hito",AY$8&gt;=$F46,AY$8&lt;=$F46+$G46-1),1,""))</f>
        <v/>
      </c>
      <c r="AZ46" s="5" t="str">
        <f t="shared" ca="1" si="74"/>
        <v/>
      </c>
      <c r="BA46" s="5" t="str">
        <f t="shared" ca="1" si="74"/>
        <v/>
      </c>
      <c r="BB46" s="5" t="str">
        <f t="shared" ca="1" si="74"/>
        <v/>
      </c>
      <c r="BC46" s="5" t="str">
        <f t="shared" ca="1" si="74"/>
        <v/>
      </c>
      <c r="BD46" s="5" t="str">
        <f t="shared" ca="1" si="74"/>
        <v/>
      </c>
      <c r="BE46" s="5" t="str">
        <f t="shared" ca="1" si="74"/>
        <v/>
      </c>
      <c r="BF46" s="5" t="str">
        <f t="shared" ca="1" si="74"/>
        <v/>
      </c>
      <c r="BG46" s="5" t="str">
        <f t="shared" ca="1" si="74"/>
        <v/>
      </c>
      <c r="BH46" s="5" t="str">
        <f t="shared" ca="1" si="74"/>
        <v/>
      </c>
      <c r="BI46" s="5" t="str">
        <f t="shared" ref="BI46:BN50" ca="1" si="75">IF(AND($C46="Objetivo",BI$8&gt;=$F46,BI$8&lt;=$F46+$G46-1),2,IF(AND($C46="Hito",BI$8&gt;=$F46,BI$8&lt;=$F46+$G46-1),1,""))</f>
        <v/>
      </c>
      <c r="BJ46" s="5" t="str">
        <f t="shared" ca="1" si="75"/>
        <v/>
      </c>
      <c r="BK46" s="5" t="str">
        <f t="shared" ca="1" si="75"/>
        <v/>
      </c>
      <c r="BL46" s="5" t="str">
        <f t="shared" ca="1" si="75"/>
        <v/>
      </c>
      <c r="BM46" s="5" t="str">
        <f t="shared" ca="1" si="75"/>
        <v/>
      </c>
      <c r="BN46" s="5" t="str">
        <f t="shared" ca="1" si="75"/>
        <v/>
      </c>
      <c r="BO46" s="5" t="str">
        <f t="shared" ca="1" si="66"/>
        <v/>
      </c>
      <c r="BP46" s="5" t="str">
        <f t="shared" ca="1" si="66"/>
        <v/>
      </c>
      <c r="BQ46" s="5" t="str">
        <f t="shared" ca="1" si="66"/>
        <v/>
      </c>
      <c r="BR46" s="5" t="str">
        <f t="shared" ca="1" si="66"/>
        <v/>
      </c>
      <c r="BS46" s="5" t="str">
        <f t="shared" ca="1" si="66"/>
        <v/>
      </c>
      <c r="BT46" s="5" t="str">
        <f t="shared" ca="1" si="66"/>
        <v/>
      </c>
      <c r="BU46" s="5" t="str">
        <f t="shared" ca="1" si="66"/>
        <v/>
      </c>
      <c r="BV46" s="5" t="str">
        <f t="shared" ca="1" si="66"/>
        <v/>
      </c>
      <c r="BW46" s="5" t="str">
        <f t="shared" ca="1" si="66"/>
        <v/>
      </c>
      <c r="BX46" s="5" t="str">
        <f t="shared" ca="1" si="66"/>
        <v/>
      </c>
      <c r="BY46" s="5" t="str">
        <f t="shared" ca="1" si="67"/>
        <v/>
      </c>
      <c r="BZ46" s="5" t="str">
        <f t="shared" ca="1" si="67"/>
        <v/>
      </c>
      <c r="CA46" s="5" t="str">
        <f t="shared" ca="1" si="67"/>
        <v/>
      </c>
      <c r="CB46" s="5" t="str">
        <f t="shared" ca="1" si="67"/>
        <v/>
      </c>
      <c r="CC46" s="5" t="str">
        <f t="shared" ca="1" si="67"/>
        <v/>
      </c>
      <c r="CD46" s="5" t="str">
        <f t="shared" ca="1" si="67"/>
        <v/>
      </c>
      <c r="CE46" s="5" t="str">
        <f t="shared" ca="1" si="67"/>
        <v/>
      </c>
      <c r="CF46" s="5" t="str">
        <f t="shared" ca="1" si="67"/>
        <v/>
      </c>
      <c r="CG46" s="5" t="str">
        <f t="shared" ca="1" si="67"/>
        <v/>
      </c>
      <c r="CH46" s="5" t="str">
        <f t="shared" ca="1" si="67"/>
        <v/>
      </c>
      <c r="CI46" s="5" t="str">
        <f t="shared" ca="1" si="68"/>
        <v/>
      </c>
      <c r="CJ46" s="5" t="str">
        <f t="shared" ca="1" si="68"/>
        <v/>
      </c>
      <c r="CK46" s="5" t="str">
        <f t="shared" ca="1" si="68"/>
        <v/>
      </c>
      <c r="CL46" s="5" t="str">
        <f t="shared" ca="1" si="68"/>
        <v/>
      </c>
      <c r="CM46" s="5" t="str">
        <f t="shared" ca="1" si="68"/>
        <v/>
      </c>
      <c r="CN46" s="5" t="str">
        <f t="shared" ca="1" si="68"/>
        <v/>
      </c>
      <c r="CO46" s="5" t="str">
        <f t="shared" ca="1" si="68"/>
        <v/>
      </c>
      <c r="CP46" s="5" t="str">
        <f t="shared" ca="1" si="68"/>
        <v/>
      </c>
      <c r="CQ46" s="5" t="str">
        <f t="shared" ca="1" si="68"/>
        <v/>
      </c>
      <c r="CR46" s="5" t="str">
        <f t="shared" ca="1" si="68"/>
        <v/>
      </c>
      <c r="CS46" s="5" t="str">
        <f t="shared" ca="1" si="69"/>
        <v/>
      </c>
      <c r="CT46" s="5" t="str">
        <f t="shared" ca="1" si="69"/>
        <v/>
      </c>
      <c r="CU46" s="5" t="str">
        <f t="shared" ca="1" si="69"/>
        <v/>
      </c>
      <c r="CV46" s="5" t="str">
        <f t="shared" ca="1" si="69"/>
        <v/>
      </c>
      <c r="CW46" s="5" t="str">
        <f t="shared" ca="1" si="69"/>
        <v/>
      </c>
      <c r="CX46" s="5" t="str">
        <f t="shared" ca="1" si="69"/>
        <v/>
      </c>
      <c r="CY46" s="5" t="str">
        <f t="shared" ca="1" si="69"/>
        <v/>
      </c>
      <c r="CZ46" s="5" t="str">
        <f t="shared" ca="1" si="69"/>
        <v/>
      </c>
      <c r="DA46" s="5" t="str">
        <f t="shared" ca="1" si="69"/>
        <v/>
      </c>
      <c r="DB46" s="5" t="str">
        <f t="shared" ca="1" si="69"/>
        <v/>
      </c>
    </row>
    <row r="47" spans="1:106" s="1" customFormat="1" ht="23.25" x14ac:dyDescent="0.25">
      <c r="A47" s="3"/>
      <c r="B47" s="39" t="s">
        <v>22</v>
      </c>
      <c r="C47" s="34"/>
      <c r="D47" s="34"/>
      <c r="E47" s="49">
        <f>AVERAGE(E48:E57)</f>
        <v>1</v>
      </c>
      <c r="F47" s="40"/>
      <c r="G47" s="57"/>
      <c r="H47" s="29"/>
      <c r="I47" s="29"/>
      <c r="J47" s="7"/>
      <c r="K47" s="5" t="str">
        <f t="shared" ca="1" si="70"/>
        <v/>
      </c>
      <c r="L47" s="5" t="str">
        <f t="shared" ca="1" si="70"/>
        <v/>
      </c>
      <c r="M47" s="5" t="str">
        <f t="shared" ca="1" si="70"/>
        <v/>
      </c>
      <c r="N47" s="5" t="str">
        <f t="shared" ca="1" si="70"/>
        <v/>
      </c>
      <c r="O47" s="5" t="str">
        <f t="shared" ca="1" si="70"/>
        <v/>
      </c>
      <c r="P47" s="5" t="str">
        <f t="shared" ca="1" si="70"/>
        <v/>
      </c>
      <c r="Q47" s="5" t="str">
        <f t="shared" ca="1" si="70"/>
        <v/>
      </c>
      <c r="R47" s="5" t="str">
        <f t="shared" ca="1" si="70"/>
        <v/>
      </c>
      <c r="S47" s="5" t="str">
        <f t="shared" ca="1" si="70"/>
        <v/>
      </c>
      <c r="T47" s="5" t="str">
        <f t="shared" ca="1" si="70"/>
        <v/>
      </c>
      <c r="U47" s="5" t="str">
        <f t="shared" ca="1" si="71"/>
        <v/>
      </c>
      <c r="V47" s="5" t="str">
        <f t="shared" ca="1" si="71"/>
        <v/>
      </c>
      <c r="W47" s="5" t="str">
        <f t="shared" ca="1" si="71"/>
        <v/>
      </c>
      <c r="X47" s="5" t="str">
        <f t="shared" ca="1" si="71"/>
        <v/>
      </c>
      <c r="Y47" s="5" t="str">
        <f t="shared" ca="1" si="71"/>
        <v/>
      </c>
      <c r="Z47" s="5" t="str">
        <f t="shared" ca="1" si="71"/>
        <v/>
      </c>
      <c r="AA47" s="5" t="str">
        <f t="shared" ca="1" si="71"/>
        <v/>
      </c>
      <c r="AB47" s="5" t="str">
        <f t="shared" ca="1" si="71"/>
        <v/>
      </c>
      <c r="AC47" s="5" t="str">
        <f t="shared" ca="1" si="71"/>
        <v/>
      </c>
      <c r="AD47" s="5" t="str">
        <f t="shared" ca="1" si="71"/>
        <v/>
      </c>
      <c r="AE47" s="5" t="str">
        <f t="shared" ca="1" si="72"/>
        <v/>
      </c>
      <c r="AF47" s="5" t="str">
        <f t="shared" ca="1" si="72"/>
        <v/>
      </c>
      <c r="AG47" s="5" t="str">
        <f t="shared" ca="1" si="72"/>
        <v/>
      </c>
      <c r="AH47" s="5" t="str">
        <f t="shared" ca="1" si="72"/>
        <v/>
      </c>
      <c r="AI47" s="5" t="str">
        <f t="shared" ca="1" si="72"/>
        <v/>
      </c>
      <c r="AJ47" s="5" t="str">
        <f t="shared" ca="1" si="72"/>
        <v/>
      </c>
      <c r="AK47" s="5" t="str">
        <f t="shared" ca="1" si="72"/>
        <v/>
      </c>
      <c r="AL47" s="5" t="str">
        <f t="shared" ca="1" si="72"/>
        <v/>
      </c>
      <c r="AM47" s="5" t="str">
        <f t="shared" ca="1" si="72"/>
        <v/>
      </c>
      <c r="AN47" s="5" t="str">
        <f t="shared" ca="1" si="72"/>
        <v/>
      </c>
      <c r="AO47" s="5" t="str">
        <f t="shared" ca="1" si="73"/>
        <v/>
      </c>
      <c r="AP47" s="5" t="str">
        <f t="shared" ca="1" si="73"/>
        <v/>
      </c>
      <c r="AQ47" s="5" t="str">
        <f t="shared" ca="1" si="73"/>
        <v/>
      </c>
      <c r="AR47" s="5" t="str">
        <f t="shared" ca="1" si="73"/>
        <v/>
      </c>
      <c r="AS47" s="5" t="str">
        <f t="shared" ca="1" si="73"/>
        <v/>
      </c>
      <c r="AT47" s="5" t="str">
        <f t="shared" ca="1" si="73"/>
        <v/>
      </c>
      <c r="AU47" s="5" t="str">
        <f t="shared" ca="1" si="73"/>
        <v/>
      </c>
      <c r="AV47" s="5" t="str">
        <f t="shared" ca="1" si="73"/>
        <v/>
      </c>
      <c r="AW47" s="5" t="str">
        <f t="shared" ca="1" si="73"/>
        <v/>
      </c>
      <c r="AX47" s="5" t="str">
        <f t="shared" ca="1" si="73"/>
        <v/>
      </c>
      <c r="AY47" s="5" t="str">
        <f t="shared" ca="1" si="74"/>
        <v/>
      </c>
      <c r="AZ47" s="5" t="str">
        <f t="shared" ca="1" si="74"/>
        <v/>
      </c>
      <c r="BA47" s="5" t="str">
        <f t="shared" ca="1" si="74"/>
        <v/>
      </c>
      <c r="BB47" s="5" t="str">
        <f t="shared" ca="1" si="74"/>
        <v/>
      </c>
      <c r="BC47" s="5" t="str">
        <f t="shared" ca="1" si="74"/>
        <v/>
      </c>
      <c r="BD47" s="5" t="str">
        <f t="shared" ca="1" si="74"/>
        <v/>
      </c>
      <c r="BE47" s="5" t="str">
        <f t="shared" ca="1" si="74"/>
        <v/>
      </c>
      <c r="BF47" s="5" t="str">
        <f t="shared" ca="1" si="74"/>
        <v/>
      </c>
      <c r="BG47" s="5" t="str">
        <f t="shared" ca="1" si="74"/>
        <v/>
      </c>
      <c r="BH47" s="5" t="str">
        <f t="shared" ca="1" si="74"/>
        <v/>
      </c>
      <c r="BI47" s="5" t="str">
        <f t="shared" ca="1" si="75"/>
        <v/>
      </c>
      <c r="BJ47" s="5" t="str">
        <f t="shared" ca="1" si="75"/>
        <v/>
      </c>
      <c r="BK47" s="5" t="str">
        <f t="shared" ca="1" si="75"/>
        <v/>
      </c>
      <c r="BL47" s="5" t="str">
        <f t="shared" ca="1" si="75"/>
        <v/>
      </c>
      <c r="BM47" s="5" t="str">
        <f t="shared" ca="1" si="75"/>
        <v/>
      </c>
      <c r="BN47" s="5" t="str">
        <f t="shared" ca="1" si="75"/>
        <v/>
      </c>
      <c r="BO47" s="5" t="str">
        <f t="shared" ca="1" si="66"/>
        <v/>
      </c>
      <c r="BP47" s="5" t="str">
        <f t="shared" ca="1" si="66"/>
        <v/>
      </c>
      <c r="BQ47" s="5" t="str">
        <f t="shared" ca="1" si="66"/>
        <v/>
      </c>
      <c r="BR47" s="5" t="str">
        <f t="shared" ca="1" si="66"/>
        <v/>
      </c>
      <c r="BS47" s="5" t="str">
        <f t="shared" ca="1" si="66"/>
        <v/>
      </c>
      <c r="BT47" s="5" t="str">
        <f t="shared" ca="1" si="66"/>
        <v/>
      </c>
      <c r="BU47" s="5" t="str">
        <f t="shared" ca="1" si="66"/>
        <v/>
      </c>
      <c r="BV47" s="5" t="str">
        <f t="shared" ca="1" si="66"/>
        <v/>
      </c>
      <c r="BW47" s="5" t="str">
        <f t="shared" ca="1" si="66"/>
        <v/>
      </c>
      <c r="BX47" s="5" t="str">
        <f t="shared" ca="1" si="66"/>
        <v/>
      </c>
      <c r="BY47" s="5" t="str">
        <f t="shared" ca="1" si="67"/>
        <v/>
      </c>
      <c r="BZ47" s="5" t="str">
        <f t="shared" ca="1" si="67"/>
        <v/>
      </c>
      <c r="CA47" s="5" t="str">
        <f t="shared" ca="1" si="67"/>
        <v/>
      </c>
      <c r="CB47" s="5" t="str">
        <f t="shared" ca="1" si="67"/>
        <v/>
      </c>
      <c r="CC47" s="5" t="str">
        <f t="shared" ca="1" si="67"/>
        <v/>
      </c>
      <c r="CD47" s="5" t="str">
        <f t="shared" ca="1" si="67"/>
        <v/>
      </c>
      <c r="CE47" s="5" t="str">
        <f t="shared" ca="1" si="67"/>
        <v/>
      </c>
      <c r="CF47" s="5" t="str">
        <f t="shared" ca="1" si="67"/>
        <v/>
      </c>
      <c r="CG47" s="5" t="str">
        <f t="shared" ca="1" si="67"/>
        <v/>
      </c>
      <c r="CH47" s="5" t="str">
        <f t="shared" ca="1" si="67"/>
        <v/>
      </c>
      <c r="CI47" s="5" t="str">
        <f t="shared" ca="1" si="68"/>
        <v/>
      </c>
      <c r="CJ47" s="5" t="str">
        <f t="shared" ca="1" si="68"/>
        <v/>
      </c>
      <c r="CK47" s="5" t="str">
        <f t="shared" ca="1" si="68"/>
        <v/>
      </c>
      <c r="CL47" s="5" t="str">
        <f t="shared" ca="1" si="68"/>
        <v/>
      </c>
      <c r="CM47" s="5" t="str">
        <f t="shared" ca="1" si="68"/>
        <v/>
      </c>
      <c r="CN47" s="5" t="str">
        <f t="shared" ca="1" si="68"/>
        <v/>
      </c>
      <c r="CO47" s="5" t="str">
        <f t="shared" ca="1" si="68"/>
        <v/>
      </c>
      <c r="CP47" s="5" t="str">
        <f t="shared" ca="1" si="68"/>
        <v/>
      </c>
      <c r="CQ47" s="5" t="str">
        <f t="shared" ca="1" si="68"/>
        <v/>
      </c>
      <c r="CR47" s="5" t="str">
        <f t="shared" ca="1" si="68"/>
        <v/>
      </c>
      <c r="CS47" s="5" t="str">
        <f t="shared" ca="1" si="69"/>
        <v/>
      </c>
      <c r="CT47" s="5" t="str">
        <f t="shared" ca="1" si="69"/>
        <v/>
      </c>
      <c r="CU47" s="5" t="str">
        <f t="shared" ca="1" si="69"/>
        <v/>
      </c>
      <c r="CV47" s="5" t="str">
        <f t="shared" ca="1" si="69"/>
        <v/>
      </c>
      <c r="CW47" s="5" t="str">
        <f t="shared" ca="1" si="69"/>
        <v/>
      </c>
      <c r="CX47" s="5" t="str">
        <f t="shared" ca="1" si="69"/>
        <v/>
      </c>
      <c r="CY47" s="5" t="str">
        <f t="shared" ca="1" si="69"/>
        <v/>
      </c>
      <c r="CZ47" s="5" t="str">
        <f t="shared" ca="1" si="69"/>
        <v/>
      </c>
      <c r="DA47" s="5" t="str">
        <f t="shared" ca="1" si="69"/>
        <v/>
      </c>
      <c r="DB47" s="5" t="str">
        <f t="shared" ca="1" si="69"/>
        <v/>
      </c>
    </row>
    <row r="48" spans="1:106" s="1" customFormat="1" ht="40.15" customHeight="1" x14ac:dyDescent="0.25">
      <c r="A48" s="3"/>
      <c r="B48" s="34" t="s">
        <v>77</v>
      </c>
      <c r="C48" s="34" t="s">
        <v>5</v>
      </c>
      <c r="D48" s="34" t="s">
        <v>37</v>
      </c>
      <c r="E48" s="50">
        <v>1</v>
      </c>
      <c r="F48" s="40">
        <v>45975</v>
      </c>
      <c r="G48" s="57">
        <v>2</v>
      </c>
      <c r="H48" s="58" t="s">
        <v>96</v>
      </c>
      <c r="I48" s="58" t="s">
        <v>105</v>
      </c>
      <c r="J48" s="7"/>
      <c r="K48" s="5" t="str">
        <f t="shared" ca="1" si="70"/>
        <v/>
      </c>
      <c r="L48" s="5" t="str">
        <f t="shared" ca="1" si="70"/>
        <v/>
      </c>
      <c r="M48" s="5" t="str">
        <f t="shared" ca="1" si="70"/>
        <v/>
      </c>
      <c r="N48" s="5" t="str">
        <f t="shared" ca="1" si="70"/>
        <v/>
      </c>
      <c r="O48" s="5" t="str">
        <f t="shared" ca="1" si="70"/>
        <v/>
      </c>
      <c r="P48" s="5" t="str">
        <f t="shared" ca="1" si="70"/>
        <v/>
      </c>
      <c r="Q48" s="5" t="str">
        <f t="shared" ca="1" si="70"/>
        <v/>
      </c>
      <c r="R48" s="5" t="str">
        <f t="shared" ca="1" si="70"/>
        <v/>
      </c>
      <c r="S48" s="5" t="str">
        <f t="shared" ca="1" si="70"/>
        <v/>
      </c>
      <c r="T48" s="5" t="str">
        <f t="shared" ca="1" si="70"/>
        <v/>
      </c>
      <c r="U48" s="5" t="str">
        <f t="shared" ca="1" si="71"/>
        <v/>
      </c>
      <c r="V48" s="5" t="str">
        <f t="shared" ca="1" si="71"/>
        <v/>
      </c>
      <c r="W48" s="5" t="str">
        <f t="shared" ca="1" si="71"/>
        <v/>
      </c>
      <c r="X48" s="5" t="str">
        <f t="shared" ca="1" si="71"/>
        <v/>
      </c>
      <c r="Y48" s="5" t="str">
        <f t="shared" ca="1" si="71"/>
        <v/>
      </c>
      <c r="Z48" s="5" t="str">
        <f t="shared" ca="1" si="71"/>
        <v/>
      </c>
      <c r="AA48" s="5" t="str">
        <f t="shared" ca="1" si="71"/>
        <v/>
      </c>
      <c r="AB48" s="5" t="str">
        <f t="shared" ca="1" si="71"/>
        <v/>
      </c>
      <c r="AC48" s="5" t="str">
        <f t="shared" ca="1" si="71"/>
        <v/>
      </c>
      <c r="AD48" s="5" t="str">
        <f t="shared" ca="1" si="71"/>
        <v/>
      </c>
      <c r="AE48" s="5" t="str">
        <f t="shared" ca="1" si="72"/>
        <v/>
      </c>
      <c r="AF48" s="5" t="str">
        <f t="shared" ca="1" si="72"/>
        <v/>
      </c>
      <c r="AG48" s="5" t="str">
        <f t="shared" ca="1" si="72"/>
        <v/>
      </c>
      <c r="AH48" s="5" t="str">
        <f t="shared" ca="1" si="72"/>
        <v/>
      </c>
      <c r="AI48" s="5" t="str">
        <f t="shared" ca="1" si="72"/>
        <v/>
      </c>
      <c r="AJ48" s="5" t="str">
        <f t="shared" ca="1" si="72"/>
        <v/>
      </c>
      <c r="AK48" s="5" t="str">
        <f t="shared" ca="1" si="72"/>
        <v/>
      </c>
      <c r="AL48" s="5" t="str">
        <f t="shared" ca="1" si="72"/>
        <v/>
      </c>
      <c r="AM48" s="5" t="str">
        <f t="shared" ca="1" si="72"/>
        <v/>
      </c>
      <c r="AN48" s="5" t="str">
        <f t="shared" ca="1" si="72"/>
        <v/>
      </c>
      <c r="AO48" s="5" t="str">
        <f t="shared" ca="1" si="73"/>
        <v/>
      </c>
      <c r="AP48" s="5" t="str">
        <f t="shared" ca="1" si="73"/>
        <v/>
      </c>
      <c r="AQ48" s="5" t="str">
        <f t="shared" ca="1" si="73"/>
        <v/>
      </c>
      <c r="AR48" s="5" t="str">
        <f t="shared" ca="1" si="73"/>
        <v/>
      </c>
      <c r="AS48" s="5" t="str">
        <f t="shared" ca="1" si="73"/>
        <v/>
      </c>
      <c r="AT48" s="5" t="str">
        <f t="shared" ca="1" si="73"/>
        <v/>
      </c>
      <c r="AU48" s="5" t="str">
        <f t="shared" ca="1" si="73"/>
        <v/>
      </c>
      <c r="AV48" s="5" t="str">
        <f t="shared" ca="1" si="73"/>
        <v/>
      </c>
      <c r="AW48" s="5" t="str">
        <f t="shared" ca="1" si="73"/>
        <v/>
      </c>
      <c r="AX48" s="5" t="str">
        <f t="shared" ca="1" si="73"/>
        <v/>
      </c>
      <c r="AY48" s="5" t="str">
        <f t="shared" ca="1" si="74"/>
        <v/>
      </c>
      <c r="AZ48" s="5" t="str">
        <f t="shared" ca="1" si="74"/>
        <v/>
      </c>
      <c r="BA48" s="5" t="str">
        <f t="shared" ca="1" si="74"/>
        <v/>
      </c>
      <c r="BB48" s="5" t="str">
        <f t="shared" ca="1" si="74"/>
        <v/>
      </c>
      <c r="BC48" s="5" t="str">
        <f t="shared" ca="1" si="74"/>
        <v/>
      </c>
      <c r="BD48" s="5" t="str">
        <f t="shared" ca="1" si="74"/>
        <v/>
      </c>
      <c r="BE48" s="5" t="str">
        <f t="shared" ca="1" si="74"/>
        <v/>
      </c>
      <c r="BF48" s="5" t="str">
        <f t="shared" ca="1" si="74"/>
        <v/>
      </c>
      <c r="BG48" s="5" t="str">
        <f t="shared" ca="1" si="74"/>
        <v/>
      </c>
      <c r="BH48" s="5" t="str">
        <f t="shared" ca="1" si="74"/>
        <v/>
      </c>
      <c r="BI48" s="5" t="str">
        <f t="shared" ca="1" si="75"/>
        <v/>
      </c>
      <c r="BJ48" s="5" t="str">
        <f t="shared" ca="1" si="75"/>
        <v/>
      </c>
      <c r="BK48" s="5" t="str">
        <f t="shared" ca="1" si="75"/>
        <v/>
      </c>
      <c r="BL48" s="5" t="str">
        <f t="shared" ca="1" si="75"/>
        <v/>
      </c>
      <c r="BM48" s="5" t="str">
        <f t="shared" ca="1" si="75"/>
        <v/>
      </c>
      <c r="BN48" s="5" t="str">
        <f t="shared" ca="1" si="75"/>
        <v/>
      </c>
      <c r="BO48" s="5" t="str">
        <f t="shared" ca="1" si="66"/>
        <v/>
      </c>
      <c r="BP48" s="5" t="str">
        <f t="shared" ca="1" si="66"/>
        <v/>
      </c>
      <c r="BQ48" s="5" t="str">
        <f t="shared" ca="1" si="66"/>
        <v/>
      </c>
      <c r="BR48" s="5" t="str">
        <f t="shared" ca="1" si="66"/>
        <v/>
      </c>
      <c r="BS48" s="5" t="str">
        <f t="shared" ca="1" si="66"/>
        <v/>
      </c>
      <c r="BT48" s="5" t="str">
        <f t="shared" ca="1" si="66"/>
        <v/>
      </c>
      <c r="BU48" s="5" t="str">
        <f t="shared" ca="1" si="66"/>
        <v/>
      </c>
      <c r="BV48" s="5" t="str">
        <f t="shared" ca="1" si="66"/>
        <v/>
      </c>
      <c r="BW48" s="5" t="str">
        <f t="shared" ca="1" si="66"/>
        <v/>
      </c>
      <c r="BX48" s="5" t="str">
        <f t="shared" ca="1" si="66"/>
        <v/>
      </c>
      <c r="BY48" s="5" t="str">
        <f t="shared" ca="1" si="67"/>
        <v/>
      </c>
      <c r="BZ48" s="5" t="str">
        <f t="shared" ca="1" si="67"/>
        <v/>
      </c>
      <c r="CA48" s="5" t="str">
        <f t="shared" ca="1" si="67"/>
        <v/>
      </c>
      <c r="CB48" s="5" t="str">
        <f t="shared" ca="1" si="67"/>
        <v/>
      </c>
      <c r="CC48" s="5" t="str">
        <f t="shared" ca="1" si="67"/>
        <v/>
      </c>
      <c r="CD48" s="5" t="str">
        <f t="shared" ca="1" si="67"/>
        <v/>
      </c>
      <c r="CE48" s="5" t="str">
        <f t="shared" ca="1" si="67"/>
        <v/>
      </c>
      <c r="CF48" s="5" t="str">
        <f t="shared" ca="1" si="67"/>
        <v/>
      </c>
      <c r="CG48" s="5" t="str">
        <f t="shared" ca="1" si="67"/>
        <v/>
      </c>
      <c r="CH48" s="5" t="str">
        <f t="shared" ca="1" si="67"/>
        <v/>
      </c>
      <c r="CI48" s="5" t="str">
        <f t="shared" ca="1" si="68"/>
        <v/>
      </c>
      <c r="CJ48" s="5" t="str">
        <f t="shared" ca="1" si="68"/>
        <v/>
      </c>
      <c r="CK48" s="5" t="str">
        <f t="shared" ca="1" si="68"/>
        <v/>
      </c>
      <c r="CL48" s="5" t="str">
        <f t="shared" ca="1" si="68"/>
        <v/>
      </c>
      <c r="CM48" s="5" t="str">
        <f t="shared" ca="1" si="68"/>
        <v/>
      </c>
      <c r="CN48" s="5" t="str">
        <f t="shared" ca="1" si="68"/>
        <v/>
      </c>
      <c r="CO48" s="5" t="str">
        <f t="shared" ca="1" si="68"/>
        <v/>
      </c>
      <c r="CP48" s="5" t="str">
        <f t="shared" ca="1" si="68"/>
        <v/>
      </c>
      <c r="CQ48" s="5" t="str">
        <f t="shared" ca="1" si="68"/>
        <v/>
      </c>
      <c r="CR48" s="5" t="str">
        <f t="shared" ca="1" si="68"/>
        <v/>
      </c>
      <c r="CS48" s="5" t="str">
        <f t="shared" ca="1" si="69"/>
        <v/>
      </c>
      <c r="CT48" s="5" t="str">
        <f t="shared" ca="1" si="69"/>
        <v/>
      </c>
      <c r="CU48" s="5" t="str">
        <f t="shared" ca="1" si="69"/>
        <v/>
      </c>
      <c r="CV48" s="5" t="str">
        <f t="shared" ca="1" si="69"/>
        <v/>
      </c>
      <c r="CW48" s="5" t="str">
        <f t="shared" ca="1" si="69"/>
        <v/>
      </c>
      <c r="CX48" s="5" t="str">
        <f t="shared" ca="1" si="69"/>
        <v/>
      </c>
      <c r="CY48" s="5" t="str">
        <f t="shared" ca="1" si="69"/>
        <v/>
      </c>
      <c r="CZ48" s="5" t="str">
        <f t="shared" ca="1" si="69"/>
        <v/>
      </c>
      <c r="DA48" s="5" t="str">
        <f t="shared" ca="1" si="69"/>
        <v/>
      </c>
      <c r="DB48" s="5" t="str">
        <f t="shared" ca="1" si="69"/>
        <v/>
      </c>
    </row>
    <row r="49" spans="1:106" s="1" customFormat="1" ht="40.15" customHeight="1" x14ac:dyDescent="0.25">
      <c r="A49" s="3"/>
      <c r="B49" s="34" t="s">
        <v>78</v>
      </c>
      <c r="C49" s="34" t="s">
        <v>5</v>
      </c>
      <c r="D49" s="34" t="s">
        <v>37</v>
      </c>
      <c r="E49" s="50">
        <v>1</v>
      </c>
      <c r="F49" s="40">
        <v>45977</v>
      </c>
      <c r="G49" s="57">
        <v>1</v>
      </c>
      <c r="H49" s="58" t="s">
        <v>97</v>
      </c>
      <c r="I49" s="59" t="s">
        <v>101</v>
      </c>
      <c r="J49" s="7"/>
      <c r="K49" s="5" t="str">
        <f t="shared" ca="1" si="70"/>
        <v/>
      </c>
      <c r="L49" s="5" t="str">
        <f t="shared" ca="1" si="70"/>
        <v/>
      </c>
      <c r="M49" s="5" t="str">
        <f t="shared" ca="1" si="70"/>
        <v/>
      </c>
      <c r="N49" s="5" t="str">
        <f t="shared" ca="1" si="70"/>
        <v/>
      </c>
      <c r="O49" s="5" t="str">
        <f t="shared" ca="1" si="70"/>
        <v/>
      </c>
      <c r="P49" s="5" t="str">
        <f t="shared" ca="1" si="70"/>
        <v/>
      </c>
      <c r="Q49" s="5" t="str">
        <f t="shared" ca="1" si="70"/>
        <v/>
      </c>
      <c r="R49" s="5" t="str">
        <f t="shared" ca="1" si="70"/>
        <v/>
      </c>
      <c r="S49" s="5" t="str">
        <f t="shared" ca="1" si="70"/>
        <v/>
      </c>
      <c r="T49" s="5" t="str">
        <f t="shared" ca="1" si="70"/>
        <v/>
      </c>
      <c r="U49" s="5" t="str">
        <f t="shared" ca="1" si="71"/>
        <v/>
      </c>
      <c r="V49" s="5" t="str">
        <f t="shared" ca="1" si="71"/>
        <v/>
      </c>
      <c r="W49" s="5" t="str">
        <f t="shared" ca="1" si="71"/>
        <v/>
      </c>
      <c r="X49" s="5" t="str">
        <f t="shared" ca="1" si="71"/>
        <v/>
      </c>
      <c r="Y49" s="5" t="str">
        <f t="shared" ca="1" si="71"/>
        <v/>
      </c>
      <c r="Z49" s="5" t="str">
        <f t="shared" ca="1" si="71"/>
        <v/>
      </c>
      <c r="AA49" s="5" t="str">
        <f t="shared" ca="1" si="71"/>
        <v/>
      </c>
      <c r="AB49" s="5" t="str">
        <f t="shared" ca="1" si="71"/>
        <v/>
      </c>
      <c r="AC49" s="5" t="str">
        <f t="shared" ca="1" si="71"/>
        <v/>
      </c>
      <c r="AD49" s="5" t="str">
        <f t="shared" ca="1" si="71"/>
        <v/>
      </c>
      <c r="AE49" s="5" t="str">
        <f t="shared" ca="1" si="72"/>
        <v/>
      </c>
      <c r="AF49" s="5" t="str">
        <f t="shared" ca="1" si="72"/>
        <v/>
      </c>
      <c r="AG49" s="5" t="str">
        <f t="shared" ca="1" si="72"/>
        <v/>
      </c>
      <c r="AH49" s="5" t="str">
        <f t="shared" ca="1" si="72"/>
        <v/>
      </c>
      <c r="AI49" s="5" t="str">
        <f t="shared" ca="1" si="72"/>
        <v/>
      </c>
      <c r="AJ49" s="5" t="str">
        <f t="shared" ca="1" si="72"/>
        <v/>
      </c>
      <c r="AK49" s="5" t="str">
        <f t="shared" ca="1" si="72"/>
        <v/>
      </c>
      <c r="AL49" s="5" t="str">
        <f t="shared" ca="1" si="72"/>
        <v/>
      </c>
      <c r="AM49" s="5" t="str">
        <f t="shared" ca="1" si="72"/>
        <v/>
      </c>
      <c r="AN49" s="5" t="str">
        <f t="shared" ca="1" si="72"/>
        <v/>
      </c>
      <c r="AO49" s="5" t="str">
        <f t="shared" ca="1" si="73"/>
        <v/>
      </c>
      <c r="AP49" s="5" t="str">
        <f t="shared" ca="1" si="73"/>
        <v/>
      </c>
      <c r="AQ49" s="5" t="str">
        <f t="shared" ca="1" si="73"/>
        <v/>
      </c>
      <c r="AR49" s="5" t="str">
        <f t="shared" ca="1" si="73"/>
        <v/>
      </c>
      <c r="AS49" s="5" t="str">
        <f t="shared" ca="1" si="73"/>
        <v/>
      </c>
      <c r="AT49" s="5" t="str">
        <f t="shared" ca="1" si="73"/>
        <v/>
      </c>
      <c r="AU49" s="5" t="str">
        <f t="shared" ca="1" si="73"/>
        <v/>
      </c>
      <c r="AV49" s="5" t="str">
        <f t="shared" ca="1" si="73"/>
        <v/>
      </c>
      <c r="AW49" s="5" t="str">
        <f t="shared" ca="1" si="73"/>
        <v/>
      </c>
      <c r="AX49" s="5" t="str">
        <f t="shared" ca="1" si="73"/>
        <v/>
      </c>
      <c r="AY49" s="5" t="str">
        <f t="shared" ca="1" si="74"/>
        <v/>
      </c>
      <c r="AZ49" s="5" t="str">
        <f t="shared" ca="1" si="74"/>
        <v/>
      </c>
      <c r="BA49" s="5" t="str">
        <f t="shared" ca="1" si="74"/>
        <v/>
      </c>
      <c r="BB49" s="5" t="str">
        <f t="shared" ca="1" si="74"/>
        <v/>
      </c>
      <c r="BC49" s="5" t="str">
        <f t="shared" ca="1" si="74"/>
        <v/>
      </c>
      <c r="BD49" s="5" t="str">
        <f t="shared" ca="1" si="74"/>
        <v/>
      </c>
      <c r="BE49" s="5" t="str">
        <f t="shared" ca="1" si="74"/>
        <v/>
      </c>
      <c r="BF49" s="5" t="str">
        <f t="shared" ca="1" si="74"/>
        <v/>
      </c>
      <c r="BG49" s="5" t="str">
        <f t="shared" ca="1" si="74"/>
        <v/>
      </c>
      <c r="BH49" s="5" t="str">
        <f t="shared" ca="1" si="74"/>
        <v/>
      </c>
      <c r="BI49" s="5" t="str">
        <f t="shared" ca="1" si="75"/>
        <v/>
      </c>
      <c r="BJ49" s="5" t="str">
        <f t="shared" ca="1" si="75"/>
        <v/>
      </c>
      <c r="BK49" s="5" t="str">
        <f t="shared" ca="1" si="75"/>
        <v/>
      </c>
      <c r="BL49" s="5" t="str">
        <f t="shared" ca="1" si="75"/>
        <v/>
      </c>
      <c r="BM49" s="5" t="str">
        <f t="shared" ca="1" si="75"/>
        <v/>
      </c>
      <c r="BN49" s="5" t="str">
        <f t="shared" ca="1" si="75"/>
        <v/>
      </c>
      <c r="BO49" s="5" t="str">
        <f t="shared" ca="1" si="66"/>
        <v/>
      </c>
      <c r="BP49" s="5" t="str">
        <f t="shared" ca="1" si="66"/>
        <v/>
      </c>
      <c r="BQ49" s="5" t="str">
        <f t="shared" ca="1" si="66"/>
        <v/>
      </c>
      <c r="BR49" s="5" t="str">
        <f t="shared" ca="1" si="66"/>
        <v/>
      </c>
      <c r="BS49" s="5" t="str">
        <f t="shared" ca="1" si="66"/>
        <v/>
      </c>
      <c r="BT49" s="5" t="str">
        <f t="shared" ca="1" si="66"/>
        <v/>
      </c>
      <c r="BU49" s="5" t="str">
        <f t="shared" ca="1" si="66"/>
        <v/>
      </c>
      <c r="BV49" s="5" t="str">
        <f t="shared" ca="1" si="66"/>
        <v/>
      </c>
      <c r="BW49" s="5" t="str">
        <f t="shared" ca="1" si="66"/>
        <v/>
      </c>
      <c r="BX49" s="5" t="str">
        <f t="shared" ca="1" si="66"/>
        <v/>
      </c>
      <c r="BY49" s="5" t="str">
        <f t="shared" ca="1" si="67"/>
        <v/>
      </c>
      <c r="BZ49" s="5" t="str">
        <f t="shared" ca="1" si="67"/>
        <v/>
      </c>
      <c r="CA49" s="5" t="str">
        <f t="shared" ca="1" si="67"/>
        <v/>
      </c>
      <c r="CB49" s="5" t="str">
        <f t="shared" ca="1" si="67"/>
        <v/>
      </c>
      <c r="CC49" s="5" t="str">
        <f t="shared" ca="1" si="67"/>
        <v/>
      </c>
      <c r="CD49" s="5" t="str">
        <f t="shared" ca="1" si="67"/>
        <v/>
      </c>
      <c r="CE49" s="5" t="str">
        <f t="shared" ca="1" si="67"/>
        <v/>
      </c>
      <c r="CF49" s="5" t="str">
        <f t="shared" ca="1" si="67"/>
        <v/>
      </c>
      <c r="CG49" s="5" t="str">
        <f t="shared" ca="1" si="67"/>
        <v/>
      </c>
      <c r="CH49" s="5" t="str">
        <f t="shared" ca="1" si="67"/>
        <v/>
      </c>
      <c r="CI49" s="5" t="str">
        <f t="shared" ca="1" si="68"/>
        <v/>
      </c>
      <c r="CJ49" s="5" t="str">
        <f t="shared" ca="1" si="68"/>
        <v/>
      </c>
      <c r="CK49" s="5" t="str">
        <f t="shared" ca="1" si="68"/>
        <v/>
      </c>
      <c r="CL49" s="5" t="str">
        <f t="shared" ca="1" si="68"/>
        <v/>
      </c>
      <c r="CM49" s="5" t="str">
        <f t="shared" ca="1" si="68"/>
        <v/>
      </c>
      <c r="CN49" s="5" t="str">
        <f t="shared" ca="1" si="68"/>
        <v/>
      </c>
      <c r="CO49" s="5" t="str">
        <f t="shared" ca="1" si="68"/>
        <v/>
      </c>
      <c r="CP49" s="5" t="str">
        <f t="shared" ca="1" si="68"/>
        <v/>
      </c>
      <c r="CQ49" s="5" t="str">
        <f t="shared" ca="1" si="68"/>
        <v/>
      </c>
      <c r="CR49" s="5" t="str">
        <f t="shared" ca="1" si="68"/>
        <v/>
      </c>
      <c r="CS49" s="5" t="str">
        <f t="shared" ca="1" si="69"/>
        <v/>
      </c>
      <c r="CT49" s="5" t="str">
        <f t="shared" ca="1" si="69"/>
        <v/>
      </c>
      <c r="CU49" s="5" t="str">
        <f t="shared" ca="1" si="69"/>
        <v/>
      </c>
      <c r="CV49" s="5" t="str">
        <f t="shared" ca="1" si="69"/>
        <v/>
      </c>
      <c r="CW49" s="5" t="str">
        <f t="shared" ca="1" si="69"/>
        <v/>
      </c>
      <c r="CX49" s="5" t="str">
        <f t="shared" ca="1" si="69"/>
        <v/>
      </c>
      <c r="CY49" s="5" t="str">
        <f t="shared" ca="1" si="69"/>
        <v/>
      </c>
      <c r="CZ49" s="5" t="str">
        <f t="shared" ca="1" si="69"/>
        <v/>
      </c>
      <c r="DA49" s="5" t="str">
        <f t="shared" ca="1" si="69"/>
        <v/>
      </c>
      <c r="DB49" s="5" t="str">
        <f t="shared" ca="1" si="69"/>
        <v/>
      </c>
    </row>
    <row r="50" spans="1:106" s="1" customFormat="1" ht="40.15" customHeight="1" x14ac:dyDescent="0.25">
      <c r="A50" s="3"/>
      <c r="B50" s="34" t="s">
        <v>79</v>
      </c>
      <c r="C50" s="34" t="s">
        <v>5</v>
      </c>
      <c r="D50" s="34" t="s">
        <v>37</v>
      </c>
      <c r="E50" s="50">
        <v>1</v>
      </c>
      <c r="F50" s="40">
        <v>45978</v>
      </c>
      <c r="G50" s="57">
        <v>1</v>
      </c>
      <c r="H50" s="58" t="s">
        <v>98</v>
      </c>
      <c r="I50" s="59" t="s">
        <v>102</v>
      </c>
      <c r="J50" s="7"/>
      <c r="K50" s="5" t="str">
        <f t="shared" ca="1" si="70"/>
        <v/>
      </c>
      <c r="L50" s="5" t="str">
        <f t="shared" ca="1" si="70"/>
        <v/>
      </c>
      <c r="M50" s="5" t="str">
        <f t="shared" ca="1" si="70"/>
        <v/>
      </c>
      <c r="N50" s="5" t="str">
        <f t="shared" ca="1" si="70"/>
        <v/>
      </c>
      <c r="O50" s="5" t="str">
        <f t="shared" ca="1" si="70"/>
        <v/>
      </c>
      <c r="P50" s="5" t="str">
        <f t="shared" ca="1" si="70"/>
        <v/>
      </c>
      <c r="Q50" s="5" t="str">
        <f t="shared" ca="1" si="70"/>
        <v/>
      </c>
      <c r="R50" s="5" t="str">
        <f t="shared" ca="1" si="70"/>
        <v/>
      </c>
      <c r="S50" s="5" t="str">
        <f t="shared" ca="1" si="70"/>
        <v/>
      </c>
      <c r="T50" s="5" t="str">
        <f t="shared" ca="1" si="70"/>
        <v/>
      </c>
      <c r="U50" s="5" t="str">
        <f t="shared" ca="1" si="71"/>
        <v/>
      </c>
      <c r="V50" s="5" t="str">
        <f t="shared" ca="1" si="71"/>
        <v/>
      </c>
      <c r="W50" s="5" t="str">
        <f t="shared" ca="1" si="71"/>
        <v/>
      </c>
      <c r="X50" s="5" t="str">
        <f t="shared" ca="1" si="71"/>
        <v/>
      </c>
      <c r="Y50" s="5" t="str">
        <f t="shared" ca="1" si="71"/>
        <v/>
      </c>
      <c r="Z50" s="5" t="str">
        <f t="shared" ca="1" si="71"/>
        <v/>
      </c>
      <c r="AA50" s="5" t="str">
        <f t="shared" ca="1" si="71"/>
        <v/>
      </c>
      <c r="AB50" s="5" t="str">
        <f t="shared" ca="1" si="71"/>
        <v/>
      </c>
      <c r="AC50" s="5" t="str">
        <f t="shared" ca="1" si="71"/>
        <v/>
      </c>
      <c r="AD50" s="5" t="str">
        <f t="shared" ca="1" si="71"/>
        <v/>
      </c>
      <c r="AE50" s="5" t="str">
        <f t="shared" ca="1" si="72"/>
        <v/>
      </c>
      <c r="AF50" s="5" t="str">
        <f t="shared" ca="1" si="72"/>
        <v/>
      </c>
      <c r="AG50" s="5" t="str">
        <f t="shared" ca="1" si="72"/>
        <v/>
      </c>
      <c r="AH50" s="5" t="str">
        <f t="shared" ca="1" si="72"/>
        <v/>
      </c>
      <c r="AI50" s="5" t="str">
        <f t="shared" ca="1" si="72"/>
        <v/>
      </c>
      <c r="AJ50" s="5" t="str">
        <f t="shared" ca="1" si="72"/>
        <v/>
      </c>
      <c r="AK50" s="5" t="str">
        <f t="shared" ca="1" si="72"/>
        <v/>
      </c>
      <c r="AL50" s="5" t="str">
        <f t="shared" ca="1" si="72"/>
        <v/>
      </c>
      <c r="AM50" s="5" t="str">
        <f t="shared" ca="1" si="72"/>
        <v/>
      </c>
      <c r="AN50" s="5" t="str">
        <f t="shared" ca="1" si="72"/>
        <v/>
      </c>
      <c r="AO50" s="5" t="str">
        <f t="shared" ca="1" si="73"/>
        <v/>
      </c>
      <c r="AP50" s="5" t="str">
        <f t="shared" ca="1" si="73"/>
        <v/>
      </c>
      <c r="AQ50" s="5" t="str">
        <f t="shared" ca="1" si="73"/>
        <v/>
      </c>
      <c r="AR50" s="5" t="str">
        <f t="shared" ca="1" si="73"/>
        <v/>
      </c>
      <c r="AS50" s="5" t="str">
        <f t="shared" ca="1" si="73"/>
        <v/>
      </c>
      <c r="AT50" s="5" t="str">
        <f t="shared" ca="1" si="73"/>
        <v/>
      </c>
      <c r="AU50" s="5" t="str">
        <f t="shared" ca="1" si="73"/>
        <v/>
      </c>
      <c r="AV50" s="5" t="str">
        <f t="shared" ca="1" si="73"/>
        <v/>
      </c>
      <c r="AW50" s="5" t="str">
        <f t="shared" ca="1" si="73"/>
        <v/>
      </c>
      <c r="AX50" s="5" t="str">
        <f t="shared" ca="1" si="73"/>
        <v/>
      </c>
      <c r="AY50" s="5" t="str">
        <f t="shared" ca="1" si="74"/>
        <v/>
      </c>
      <c r="AZ50" s="5" t="str">
        <f t="shared" ca="1" si="74"/>
        <v/>
      </c>
      <c r="BA50" s="5" t="str">
        <f t="shared" ca="1" si="74"/>
        <v/>
      </c>
      <c r="BB50" s="5" t="str">
        <f t="shared" ca="1" si="74"/>
        <v/>
      </c>
      <c r="BC50" s="5" t="str">
        <f t="shared" ca="1" si="74"/>
        <v/>
      </c>
      <c r="BD50" s="5" t="str">
        <f t="shared" ca="1" si="74"/>
        <v/>
      </c>
      <c r="BE50" s="5" t="str">
        <f t="shared" ca="1" si="74"/>
        <v/>
      </c>
      <c r="BF50" s="5" t="str">
        <f t="shared" ca="1" si="74"/>
        <v/>
      </c>
      <c r="BG50" s="5" t="str">
        <f t="shared" ca="1" si="74"/>
        <v/>
      </c>
      <c r="BH50" s="5" t="str">
        <f t="shared" ca="1" si="74"/>
        <v/>
      </c>
      <c r="BI50" s="5" t="str">
        <f t="shared" ca="1" si="75"/>
        <v/>
      </c>
      <c r="BJ50" s="5" t="str">
        <f t="shared" ca="1" si="75"/>
        <v/>
      </c>
      <c r="BK50" s="5" t="str">
        <f t="shared" ca="1" si="75"/>
        <v/>
      </c>
      <c r="BL50" s="5" t="str">
        <f t="shared" ca="1" si="75"/>
        <v/>
      </c>
      <c r="BM50" s="5" t="str">
        <f t="shared" ca="1" si="75"/>
        <v/>
      </c>
      <c r="BN50" s="5" t="str">
        <f t="shared" ca="1" si="75"/>
        <v/>
      </c>
      <c r="BO50" s="5" t="str">
        <f t="shared" ca="1" si="66"/>
        <v/>
      </c>
      <c r="BP50" s="5" t="str">
        <f t="shared" ca="1" si="66"/>
        <v/>
      </c>
      <c r="BQ50" s="5" t="str">
        <f t="shared" ca="1" si="66"/>
        <v/>
      </c>
      <c r="BR50" s="5" t="str">
        <f t="shared" ca="1" si="66"/>
        <v/>
      </c>
      <c r="BS50" s="5" t="str">
        <f t="shared" ca="1" si="66"/>
        <v/>
      </c>
      <c r="BT50" s="5" t="str">
        <f t="shared" ca="1" si="66"/>
        <v/>
      </c>
      <c r="BU50" s="5" t="str">
        <f t="shared" ca="1" si="66"/>
        <v/>
      </c>
      <c r="BV50" s="5" t="str">
        <f t="shared" ca="1" si="66"/>
        <v/>
      </c>
      <c r="BW50" s="5" t="str">
        <f t="shared" ca="1" si="66"/>
        <v/>
      </c>
      <c r="BX50" s="5" t="str">
        <f t="shared" ca="1" si="66"/>
        <v/>
      </c>
      <c r="BY50" s="5" t="str">
        <f t="shared" ca="1" si="67"/>
        <v/>
      </c>
      <c r="BZ50" s="5" t="str">
        <f t="shared" ca="1" si="67"/>
        <v/>
      </c>
      <c r="CA50" s="5" t="str">
        <f t="shared" ca="1" si="67"/>
        <v/>
      </c>
      <c r="CB50" s="5" t="str">
        <f t="shared" ca="1" si="67"/>
        <v/>
      </c>
      <c r="CC50" s="5" t="str">
        <f t="shared" ca="1" si="67"/>
        <v/>
      </c>
      <c r="CD50" s="5" t="str">
        <f t="shared" ca="1" si="67"/>
        <v/>
      </c>
      <c r="CE50" s="5" t="str">
        <f t="shared" ca="1" si="67"/>
        <v/>
      </c>
      <c r="CF50" s="5" t="str">
        <f t="shared" ca="1" si="67"/>
        <v/>
      </c>
      <c r="CG50" s="5" t="str">
        <f t="shared" ca="1" si="67"/>
        <v/>
      </c>
      <c r="CH50" s="5" t="str">
        <f t="shared" ca="1" si="67"/>
        <v/>
      </c>
      <c r="CI50" s="5" t="str">
        <f t="shared" ca="1" si="68"/>
        <v/>
      </c>
      <c r="CJ50" s="5" t="str">
        <f t="shared" ca="1" si="68"/>
        <v/>
      </c>
      <c r="CK50" s="5" t="str">
        <f t="shared" ca="1" si="68"/>
        <v/>
      </c>
      <c r="CL50" s="5" t="str">
        <f t="shared" ca="1" si="68"/>
        <v/>
      </c>
      <c r="CM50" s="5" t="str">
        <f t="shared" ca="1" si="68"/>
        <v/>
      </c>
      <c r="CN50" s="5" t="str">
        <f t="shared" ca="1" si="68"/>
        <v/>
      </c>
      <c r="CO50" s="5" t="str">
        <f t="shared" ca="1" si="68"/>
        <v/>
      </c>
      <c r="CP50" s="5" t="str">
        <f t="shared" ca="1" si="68"/>
        <v/>
      </c>
      <c r="CQ50" s="5" t="str">
        <f t="shared" ca="1" si="68"/>
        <v/>
      </c>
      <c r="CR50" s="5" t="str">
        <f t="shared" ca="1" si="68"/>
        <v/>
      </c>
      <c r="CS50" s="5" t="str">
        <f t="shared" ca="1" si="69"/>
        <v/>
      </c>
      <c r="CT50" s="5" t="str">
        <f t="shared" ca="1" si="69"/>
        <v/>
      </c>
      <c r="CU50" s="5" t="str">
        <f t="shared" ca="1" si="69"/>
        <v/>
      </c>
      <c r="CV50" s="5" t="str">
        <f t="shared" ca="1" si="69"/>
        <v/>
      </c>
      <c r="CW50" s="5" t="str">
        <f t="shared" ca="1" si="69"/>
        <v/>
      </c>
      <c r="CX50" s="5" t="str">
        <f t="shared" ca="1" si="69"/>
        <v/>
      </c>
      <c r="CY50" s="5" t="str">
        <f t="shared" ca="1" si="69"/>
        <v/>
      </c>
      <c r="CZ50" s="5" t="str">
        <f t="shared" ca="1" si="69"/>
        <v/>
      </c>
      <c r="DA50" s="5" t="str">
        <f t="shared" ca="1" si="69"/>
        <v/>
      </c>
      <c r="DB50" s="5" t="str">
        <f t="shared" ca="1" si="69"/>
        <v/>
      </c>
    </row>
    <row r="51" spans="1:106" s="1" customFormat="1" ht="40.15" customHeight="1" x14ac:dyDescent="0.25">
      <c r="A51" s="3"/>
      <c r="B51" s="34" t="s">
        <v>113</v>
      </c>
      <c r="C51" s="34" t="s">
        <v>4</v>
      </c>
      <c r="D51" s="34" t="s">
        <v>37</v>
      </c>
      <c r="E51" s="50">
        <v>1</v>
      </c>
      <c r="F51" s="40">
        <v>45979</v>
      </c>
      <c r="G51" s="57">
        <v>1</v>
      </c>
      <c r="H51" s="54" t="s">
        <v>114</v>
      </c>
      <c r="I51" s="59" t="s">
        <v>115</v>
      </c>
      <c r="J51" s="7"/>
      <c r="K51" s="5" t="str">
        <f ca="1">IF(AND($C51="Objetivo",K$8&gt;=$F51,K$8&lt;=$F51+$G51-1),2,IF(AND($C51="Hito",K$8&gt;=$F51,K$8&lt;=$F51+$G51-1),1,""))</f>
        <v/>
      </c>
      <c r="L51" s="5" t="str">
        <f ca="1">IF(AND($C51="Objetivo",L$8&gt;=$F51,L$8&lt;=$F51+$G51-1),2,IF(AND($C51="Hito",L$8&gt;=$F51,L$8&lt;=$F51+$G51-1),1,""))</f>
        <v/>
      </c>
      <c r="M51" s="5" t="str">
        <f ca="1">IF(AND($C51="Objetivo",M$8&gt;=$F51,M$8&lt;=$F51+$G51-1),2,IF(AND($C51="Hito",M$8&gt;=$F51,M$8&lt;=$F51+$G51-1),1,""))</f>
        <v/>
      </c>
      <c r="N51" s="5" t="str">
        <f ca="1">IF(AND($C51="Objetivo",N$8&gt;=$F51,N$8&lt;=$F51+$G51-1),2,IF(AND($C51="Hito",N$8&gt;=$F51,N$8&lt;=$F51+$G51-1),1,""))</f>
        <v/>
      </c>
      <c r="O51" s="5" t="str">
        <f ca="1">IF(AND($C51="Objetivo",O$8&gt;=$F51,O$8&lt;=$F51+$G51-1),2,IF(AND($C51="Hito",O$8&gt;=$F51,O$8&lt;=$F51+$G51-1),1,""))</f>
        <v/>
      </c>
      <c r="P51" s="5" t="str">
        <f ca="1">IF(AND($C51="Objetivo",P$8&gt;=$F51,P$8&lt;=$F51+$G51-1),2,IF(AND($C51="Hito",P$8&gt;=$F51,P$8&lt;=$F51+$G51-1),1,""))</f>
        <v/>
      </c>
      <c r="Q51" s="5" t="str">
        <f ca="1">IF(AND($C51="Objetivo",Q$8&gt;=$F51,Q$8&lt;=$F51+$G51-1),2,IF(AND($C51="Hito",Q$8&gt;=$F51,Q$8&lt;=$F51+$G51-1),1,""))</f>
        <v/>
      </c>
      <c r="R51" s="5" t="str">
        <f ca="1">IF(AND($C51="Objetivo",R$8&gt;=$F51,R$8&lt;=$F51+$G51-1),2,IF(AND($C51="Hito",R$8&gt;=$F51,R$8&lt;=$F51+$G51-1),1,""))</f>
        <v/>
      </c>
      <c r="S51" s="5" t="str">
        <f ca="1">IF(AND($C51="Objetivo",S$8&gt;=$F51,S$8&lt;=$F51+$G51-1),2,IF(AND($C51="Hito",S$8&gt;=$F51,S$8&lt;=$F51+$G51-1),1,""))</f>
        <v/>
      </c>
      <c r="T51" s="5" t="str">
        <f ca="1">IF(AND($C51="Objetivo",T$8&gt;=$F51,T$8&lt;=$F51+$G51-1),2,IF(AND($C51="Hito",T$8&gt;=$F51,T$8&lt;=$F51+$G51-1),1,""))</f>
        <v/>
      </c>
      <c r="U51" s="5" t="str">
        <f ca="1">IF(AND($C51="Objetivo",U$8&gt;=$F51,U$8&lt;=$F51+$G51-1),2,IF(AND($C51="Hito",U$8&gt;=$F51,U$8&lt;=$F51+$G51-1),1,""))</f>
        <v/>
      </c>
      <c r="V51" s="5" t="str">
        <f ca="1">IF(AND($C51="Objetivo",V$8&gt;=$F51,V$8&lt;=$F51+$G51-1),2,IF(AND($C51="Hito",V$8&gt;=$F51,V$8&lt;=$F51+$G51-1),1,""))</f>
        <v/>
      </c>
      <c r="W51" s="5" t="str">
        <f ca="1">IF(AND($C51="Objetivo",W$8&gt;=$F51,W$8&lt;=$F51+$G51-1),2,IF(AND($C51="Hito",W$8&gt;=$F51,W$8&lt;=$F51+$G51-1),1,""))</f>
        <v/>
      </c>
      <c r="X51" s="5" t="str">
        <f ca="1">IF(AND($C51="Objetivo",X$8&gt;=$F51,X$8&lt;=$F51+$G51-1),2,IF(AND($C51="Hito",X$8&gt;=$F51,X$8&lt;=$F51+$G51-1),1,""))</f>
        <v/>
      </c>
      <c r="Y51" s="5" t="str">
        <f ca="1">IF(AND($C51="Objetivo",Y$8&gt;=$F51,Y$8&lt;=$F51+$G51-1),2,IF(AND($C51="Hito",Y$8&gt;=$F51,Y$8&lt;=$F51+$G51-1),1,""))</f>
        <v/>
      </c>
      <c r="Z51" s="5" t="str">
        <f ca="1">IF(AND($C51="Objetivo",Z$8&gt;=$F51,Z$8&lt;=$F51+$G51-1),2,IF(AND($C51="Hito",Z$8&gt;=$F51,Z$8&lt;=$F51+$G51-1),1,""))</f>
        <v/>
      </c>
      <c r="AA51" s="5" t="str">
        <f ca="1">IF(AND($C51="Objetivo",AA$8&gt;=$F51,AA$8&lt;=$F51+$G51-1),2,IF(AND($C51="Hito",AA$8&gt;=$F51,AA$8&lt;=$F51+$G51-1),1,""))</f>
        <v/>
      </c>
      <c r="AB51" s="5" t="str">
        <f ca="1">IF(AND($C51="Objetivo",AB$8&gt;=$F51,AB$8&lt;=$F51+$G51-1),2,IF(AND($C51="Hito",AB$8&gt;=$F51,AB$8&lt;=$F51+$G51-1),1,""))</f>
        <v/>
      </c>
      <c r="AC51" s="5" t="str">
        <f ca="1">IF(AND($C51="Objetivo",AC$8&gt;=$F51,AC$8&lt;=$F51+$G51-1),2,IF(AND($C51="Hito",AC$8&gt;=$F51,AC$8&lt;=$F51+$G51-1),1,""))</f>
        <v/>
      </c>
      <c r="AD51" s="5" t="str">
        <f ca="1">IF(AND($C51="Objetivo",AD$8&gt;=$F51,AD$8&lt;=$F51+$G51-1),2,IF(AND($C51="Hito",AD$8&gt;=$F51,AD$8&lt;=$F51+$G51-1),1,""))</f>
        <v/>
      </c>
      <c r="AE51" s="5" t="str">
        <f ca="1">IF(AND($C51="Objetivo",AE$8&gt;=$F51,AE$8&lt;=$F51+$G51-1),2,IF(AND($C51="Hito",AE$8&gt;=$F51,AE$8&lt;=$F51+$G51-1),1,""))</f>
        <v/>
      </c>
      <c r="AF51" s="5" t="str">
        <f ca="1">IF(AND($C51="Objetivo",AF$8&gt;=$F51,AF$8&lt;=$F51+$G51-1),2,IF(AND($C51="Hito",AF$8&gt;=$F51,AF$8&lt;=$F51+$G51-1),1,""))</f>
        <v/>
      </c>
      <c r="AG51" s="5" t="str">
        <f ca="1">IF(AND($C51="Objetivo",AG$8&gt;=$F51,AG$8&lt;=$F51+$G51-1),2,IF(AND($C51="Hito",AG$8&gt;=$F51,AG$8&lt;=$F51+$G51-1),1,""))</f>
        <v/>
      </c>
      <c r="AH51" s="5" t="str">
        <f ca="1">IF(AND($C51="Objetivo",AH$8&gt;=$F51,AH$8&lt;=$F51+$G51-1),2,IF(AND($C51="Hito",AH$8&gt;=$F51,AH$8&lt;=$F51+$G51-1),1,""))</f>
        <v/>
      </c>
      <c r="AI51" s="5" t="str">
        <f ca="1">IF(AND($C51="Objetivo",AI$8&gt;=$F51,AI$8&lt;=$F51+$G51-1),2,IF(AND($C51="Hito",AI$8&gt;=$F51,AI$8&lt;=$F51+$G51-1),1,""))</f>
        <v/>
      </c>
      <c r="AJ51" s="5" t="str">
        <f ca="1">IF(AND($C51="Objetivo",AJ$8&gt;=$F51,AJ$8&lt;=$F51+$G51-1),2,IF(AND($C51="Hito",AJ$8&gt;=$F51,AJ$8&lt;=$F51+$G51-1),1,""))</f>
        <v/>
      </c>
      <c r="AK51" s="5" t="str">
        <f ca="1">IF(AND($C51="Objetivo",AK$8&gt;=$F51,AK$8&lt;=$F51+$G51-1),2,IF(AND($C51="Hito",AK$8&gt;=$F51,AK$8&lt;=$F51+$G51-1),1,""))</f>
        <v/>
      </c>
      <c r="AL51" s="5" t="str">
        <f ca="1">IF(AND($C51="Objetivo",AL$8&gt;=$F51,AL$8&lt;=$F51+$G51-1),2,IF(AND($C51="Hito",AL$8&gt;=$F51,AL$8&lt;=$F51+$G51-1),1,""))</f>
        <v/>
      </c>
      <c r="AM51" s="5" t="str">
        <f ca="1">IF(AND($C51="Objetivo",AM$8&gt;=$F51,AM$8&lt;=$F51+$G51-1),2,IF(AND($C51="Hito",AM$8&gt;=$F51,AM$8&lt;=$F51+$G51-1),1,""))</f>
        <v/>
      </c>
      <c r="AN51" s="5" t="str">
        <f ca="1">IF(AND($C51="Objetivo",AN$8&gt;=$F51,AN$8&lt;=$F51+$G51-1),2,IF(AND($C51="Hito",AN$8&gt;=$F51,AN$8&lt;=$F51+$G51-1),1,""))</f>
        <v/>
      </c>
      <c r="AO51" s="5" t="str">
        <f ca="1">IF(AND($C51="Objetivo",AO$8&gt;=$F51,AO$8&lt;=$F51+$G51-1),2,IF(AND($C51="Hito",AO$8&gt;=$F51,AO$8&lt;=$F51+$G51-1),1,""))</f>
        <v/>
      </c>
      <c r="AP51" s="5" t="str">
        <f ca="1">IF(AND($C51="Objetivo",AP$8&gt;=$F51,AP$8&lt;=$F51+$G51-1),2,IF(AND($C51="Hito",AP$8&gt;=$F51,AP$8&lt;=$F51+$G51-1),1,""))</f>
        <v/>
      </c>
      <c r="AQ51" s="5" t="str">
        <f ca="1">IF(AND($C51="Objetivo",AQ$8&gt;=$F51,AQ$8&lt;=$F51+$G51-1),2,IF(AND($C51="Hito",AQ$8&gt;=$F51,AQ$8&lt;=$F51+$G51-1),1,""))</f>
        <v/>
      </c>
      <c r="AR51" s="5" t="str">
        <f ca="1">IF(AND($C51="Objetivo",AR$8&gt;=$F51,AR$8&lt;=$F51+$G51-1),2,IF(AND($C51="Hito",AR$8&gt;=$F51,AR$8&lt;=$F51+$G51-1),1,""))</f>
        <v/>
      </c>
      <c r="AS51" s="5" t="str">
        <f ca="1">IF(AND($C51="Objetivo",AS$8&gt;=$F51,AS$8&lt;=$F51+$G51-1),2,IF(AND($C51="Hito",AS$8&gt;=$F51,AS$8&lt;=$F51+$G51-1),1,""))</f>
        <v/>
      </c>
      <c r="AT51" s="5" t="str">
        <f ca="1">IF(AND($C51="Objetivo",AT$8&gt;=$F51,AT$8&lt;=$F51+$G51-1),2,IF(AND($C51="Hito",AT$8&gt;=$F51,AT$8&lt;=$F51+$G51-1),1,""))</f>
        <v/>
      </c>
      <c r="AU51" s="5" t="str">
        <f ca="1">IF(AND($C51="Objetivo",AU$8&gt;=$F51,AU$8&lt;=$F51+$G51-1),2,IF(AND($C51="Hito",AU$8&gt;=$F51,AU$8&lt;=$F51+$G51-1),1,""))</f>
        <v/>
      </c>
      <c r="AV51" s="5" t="str">
        <f ca="1">IF(AND($C51="Objetivo",AV$8&gt;=$F51,AV$8&lt;=$F51+$G51-1),2,IF(AND($C51="Hito",AV$8&gt;=$F51,AV$8&lt;=$F51+$G51-1),1,""))</f>
        <v/>
      </c>
      <c r="AW51" s="5" t="str">
        <f ca="1">IF(AND($C51="Objetivo",AW$8&gt;=$F51,AW$8&lt;=$F51+$G51-1),2,IF(AND($C51="Hito",AW$8&gt;=$F51,AW$8&lt;=$F51+$G51-1),1,""))</f>
        <v/>
      </c>
      <c r="AX51" s="5" t="str">
        <f ca="1">IF(AND($C51="Objetivo",AX$8&gt;=$F51,AX$8&lt;=$F51+$G51-1),2,IF(AND($C51="Hito",AX$8&gt;=$F51,AX$8&lt;=$F51+$G51-1),1,""))</f>
        <v/>
      </c>
      <c r="AY51" s="5" t="str">
        <f ca="1">IF(AND($C51="Objetivo",AY$8&gt;=$F51,AY$8&lt;=$F51+$G51-1),2,IF(AND($C51="Hito",AY$8&gt;=$F51,AY$8&lt;=$F51+$G51-1),1,""))</f>
        <v/>
      </c>
      <c r="AZ51" s="5" t="str">
        <f ca="1">IF(AND($C51="Objetivo",AZ$8&gt;=$F51,AZ$8&lt;=$F51+$G51-1),2,IF(AND($C51="Hito",AZ$8&gt;=$F51,AZ$8&lt;=$F51+$G51-1),1,""))</f>
        <v/>
      </c>
      <c r="BA51" s="5" t="str">
        <f ca="1">IF(AND($C51="Objetivo",BA$8&gt;=$F51,BA$8&lt;=$F51+$G51-1),2,IF(AND($C51="Hito",BA$8&gt;=$F51,BA$8&lt;=$F51+$G51-1),1,""))</f>
        <v/>
      </c>
      <c r="BB51" s="5" t="str">
        <f ca="1">IF(AND($C51="Objetivo",BB$8&gt;=$F51,BB$8&lt;=$F51+$G51-1),2,IF(AND($C51="Hito",BB$8&gt;=$F51,BB$8&lt;=$F51+$G51-1),1,""))</f>
        <v/>
      </c>
      <c r="BC51" s="5" t="str">
        <f ca="1">IF(AND($C51="Objetivo",BC$8&gt;=$F51,BC$8&lt;=$F51+$G51-1),2,IF(AND($C51="Hito",BC$8&gt;=$F51,BC$8&lt;=$F51+$G51-1),1,""))</f>
        <v/>
      </c>
      <c r="BD51" s="5" t="str">
        <f ca="1">IF(AND($C51="Objetivo",BD$8&gt;=$F51,BD$8&lt;=$F51+$G51-1),2,IF(AND($C51="Hito",BD$8&gt;=$F51,BD$8&lt;=$F51+$G51-1),1,""))</f>
        <v/>
      </c>
      <c r="BE51" s="5" t="str">
        <f ca="1">IF(AND($C51="Objetivo",BE$8&gt;=$F51,BE$8&lt;=$F51+$G51-1),2,IF(AND($C51="Hito",BE$8&gt;=$F51,BE$8&lt;=$F51+$G51-1),1,""))</f>
        <v/>
      </c>
      <c r="BF51" s="5" t="str">
        <f ca="1">IF(AND($C51="Objetivo",BF$8&gt;=$F51,BF$8&lt;=$F51+$G51-1),2,IF(AND($C51="Hito",BF$8&gt;=$F51,BF$8&lt;=$F51+$G51-1),1,""))</f>
        <v/>
      </c>
      <c r="BG51" s="5" t="str">
        <f ca="1">IF(AND($C51="Objetivo",BG$8&gt;=$F51,BG$8&lt;=$F51+$G51-1),2,IF(AND($C51="Hito",BG$8&gt;=$F51,BG$8&lt;=$F51+$G51-1),1,""))</f>
        <v/>
      </c>
      <c r="BH51" s="5" t="str">
        <f ca="1">IF(AND($C51="Objetivo",BH$8&gt;=$F51,BH$8&lt;=$F51+$G51-1),2,IF(AND($C51="Hito",BH$8&gt;=$F51,BH$8&lt;=$F51+$G51-1),1,""))</f>
        <v/>
      </c>
      <c r="BI51" s="5" t="str">
        <f ca="1">IF(AND($C51="Objetivo",BI$8&gt;=$F51,BI$8&lt;=$F51+$G51-1),2,IF(AND($C51="Hito",BI$8&gt;=$F51,BI$8&lt;=$F51+$G51-1),1,""))</f>
        <v/>
      </c>
      <c r="BJ51" s="5" t="str">
        <f ca="1">IF(AND($C51="Objetivo",BJ$8&gt;=$F51,BJ$8&lt;=$F51+$G51-1),2,IF(AND($C51="Hito",BJ$8&gt;=$F51,BJ$8&lt;=$F51+$G51-1),1,""))</f>
        <v/>
      </c>
      <c r="BK51" s="5" t="str">
        <f ca="1">IF(AND($C51="Objetivo",BK$8&gt;=$F51,BK$8&lt;=$F51+$G51-1),2,IF(AND($C51="Hito",BK$8&gt;=$F51,BK$8&lt;=$F51+$G51-1),1,""))</f>
        <v/>
      </c>
      <c r="BL51" s="5" t="str">
        <f ca="1">IF(AND($C51="Objetivo",BL$8&gt;=$F51,BL$8&lt;=$F51+$G51-1),2,IF(AND($C51="Hito",BL$8&gt;=$F51,BL$8&lt;=$F51+$G51-1),1,""))</f>
        <v/>
      </c>
      <c r="BM51" s="5" t="str">
        <f ca="1">IF(AND($C51="Objetivo",BM$8&gt;=$F51,BM$8&lt;=$F51+$G51-1),2,IF(AND($C51="Hito",BM$8&gt;=$F51,BM$8&lt;=$F51+$G51-1),1,""))</f>
        <v/>
      </c>
      <c r="BN51" s="5" t="str">
        <f ca="1">IF(AND($C51="Objetivo",BN$8&gt;=$F51,BN$8&lt;=$F51+$G51-1),2,IF(AND($C51="Hito",BN$8&gt;=$F51,BN$8&lt;=$F51+$G51-1),1,""))</f>
        <v/>
      </c>
      <c r="BO51" s="5" t="str">
        <f ca="1">IF(AND($C51="Objetivo",BO$8&gt;=$F51,BO$8&lt;=$F51+$G51-1),2,IF(AND($C51="Hito",BO$8&gt;=$F51,BO$8&lt;=$F51+$G51-1),1,""))</f>
        <v/>
      </c>
      <c r="BP51" s="5" t="str">
        <f ca="1">IF(AND($C51="Objetivo",BP$8&gt;=$F51,BP$8&lt;=$F51+$G51-1),2,IF(AND($C51="Hito",BP$8&gt;=$F51,BP$8&lt;=$F51+$G51-1),1,""))</f>
        <v/>
      </c>
      <c r="BQ51" s="5" t="str">
        <f ca="1">IF(AND($C51="Objetivo",BQ$8&gt;=$F51,BQ$8&lt;=$F51+$G51-1),2,IF(AND($C51="Hito",BQ$8&gt;=$F51,BQ$8&lt;=$F51+$G51-1),1,""))</f>
        <v/>
      </c>
      <c r="BR51" s="5" t="str">
        <f ca="1">IF(AND($C51="Objetivo",BR$8&gt;=$F51,BR$8&lt;=$F51+$G51-1),2,IF(AND($C51="Hito",BR$8&gt;=$F51,BR$8&lt;=$F51+$G51-1),1,""))</f>
        <v/>
      </c>
      <c r="BS51" s="5" t="str">
        <f ca="1">IF(AND($C51="Objetivo",BS$8&gt;=$F51,BS$8&lt;=$F51+$G51-1),2,IF(AND($C51="Hito",BS$8&gt;=$F51,BS$8&lt;=$F51+$G51-1),1,""))</f>
        <v/>
      </c>
      <c r="BT51" s="5" t="str">
        <f ca="1">IF(AND($C51="Objetivo",BT$8&gt;=$F51,BT$8&lt;=$F51+$G51-1),2,IF(AND($C51="Hito",BT$8&gt;=$F51,BT$8&lt;=$F51+$G51-1),1,""))</f>
        <v/>
      </c>
      <c r="BU51" s="5" t="str">
        <f ca="1">IF(AND($C51="Objetivo",BU$8&gt;=$F51,BU$8&lt;=$F51+$G51-1),2,IF(AND($C51="Hito",BU$8&gt;=$F51,BU$8&lt;=$F51+$G51-1),1,""))</f>
        <v/>
      </c>
      <c r="BV51" s="5" t="str">
        <f ca="1">IF(AND($C51="Objetivo",BV$8&gt;=$F51,BV$8&lt;=$F51+$G51-1),2,IF(AND($C51="Hito",BV$8&gt;=$F51,BV$8&lt;=$F51+$G51-1),1,""))</f>
        <v/>
      </c>
      <c r="BW51" s="5" t="str">
        <f ca="1">IF(AND($C51="Objetivo",BW$8&gt;=$F51,BW$8&lt;=$F51+$G51-1),2,IF(AND($C51="Hito",BW$8&gt;=$F51,BW$8&lt;=$F51+$G51-1),1,""))</f>
        <v/>
      </c>
      <c r="BX51" s="5" t="str">
        <f ca="1">IF(AND($C51="Objetivo",BX$8&gt;=$F51,BX$8&lt;=$F51+$G51-1),2,IF(AND($C51="Hito",BX$8&gt;=$F51,BX$8&lt;=$F51+$G51-1),1,""))</f>
        <v/>
      </c>
      <c r="BY51" s="5" t="str">
        <f ca="1">IF(AND($C51="Objetivo",BY$8&gt;=$F51,BY$8&lt;=$F51+$G51-1),2,IF(AND($C51="Hito",BY$8&gt;=$F51,BY$8&lt;=$F51+$G51-1),1,""))</f>
        <v/>
      </c>
      <c r="BZ51" s="5" t="str">
        <f ca="1">IF(AND($C51="Objetivo",BZ$8&gt;=$F51,BZ$8&lt;=$F51+$G51-1),2,IF(AND($C51="Hito",BZ$8&gt;=$F51,BZ$8&lt;=$F51+$G51-1),1,""))</f>
        <v/>
      </c>
      <c r="CA51" s="5" t="str">
        <f ca="1">IF(AND($C51="Objetivo",CA$8&gt;=$F51,CA$8&lt;=$F51+$G51-1),2,IF(AND($C51="Hito",CA$8&gt;=$F51,CA$8&lt;=$F51+$G51-1),1,""))</f>
        <v/>
      </c>
      <c r="CB51" s="5" t="str">
        <f ca="1">IF(AND($C51="Objetivo",CB$8&gt;=$F51,CB$8&lt;=$F51+$G51-1),2,IF(AND($C51="Hito",CB$8&gt;=$F51,CB$8&lt;=$F51+$G51-1),1,""))</f>
        <v/>
      </c>
      <c r="CC51" s="5" t="str">
        <f ca="1">IF(AND($C51="Objetivo",CC$8&gt;=$F51,CC$8&lt;=$F51+$G51-1),2,IF(AND($C51="Hito",CC$8&gt;=$F51,CC$8&lt;=$F51+$G51-1),1,""))</f>
        <v/>
      </c>
      <c r="CD51" s="5" t="str">
        <f ca="1">IF(AND($C51="Objetivo",CD$8&gt;=$F51,CD$8&lt;=$F51+$G51-1),2,IF(AND($C51="Hito",CD$8&gt;=$F51,CD$8&lt;=$F51+$G51-1),1,""))</f>
        <v/>
      </c>
      <c r="CE51" s="5" t="str">
        <f ca="1">IF(AND($C51="Objetivo",CE$8&gt;=$F51,CE$8&lt;=$F51+$G51-1),2,IF(AND($C51="Hito",CE$8&gt;=$F51,CE$8&lt;=$F51+$G51-1),1,""))</f>
        <v/>
      </c>
      <c r="CF51" s="5" t="str">
        <f ca="1">IF(AND($C51="Objetivo",CF$8&gt;=$F51,CF$8&lt;=$F51+$G51-1),2,IF(AND($C51="Hito",CF$8&gt;=$F51,CF$8&lt;=$F51+$G51-1),1,""))</f>
        <v/>
      </c>
      <c r="CG51" s="5" t="str">
        <f ca="1">IF(AND($C51="Objetivo",CG$8&gt;=$F51,CG$8&lt;=$F51+$G51-1),2,IF(AND($C51="Hito",CG$8&gt;=$F51,CG$8&lt;=$F51+$G51-1),1,""))</f>
        <v/>
      </c>
      <c r="CH51" s="5" t="str">
        <f ca="1">IF(AND($C51="Objetivo",CH$8&gt;=$F51,CH$8&lt;=$F51+$G51-1),2,IF(AND($C51="Hito",CH$8&gt;=$F51,CH$8&lt;=$F51+$G51-1),1,""))</f>
        <v/>
      </c>
      <c r="CI51" s="5" t="str">
        <f ca="1">IF(AND($C51="Objetivo",CI$8&gt;=$F51,CI$8&lt;=$F51+$G51-1),2,IF(AND($C51="Hito",CI$8&gt;=$F51,CI$8&lt;=$F51+$G51-1),1,""))</f>
        <v/>
      </c>
      <c r="CJ51" s="5" t="str">
        <f ca="1">IF(AND($C51="Objetivo",CJ$8&gt;=$F51,CJ$8&lt;=$F51+$G51-1),2,IF(AND($C51="Hito",CJ$8&gt;=$F51,CJ$8&lt;=$F51+$G51-1),1,""))</f>
        <v/>
      </c>
      <c r="CK51" s="5" t="str">
        <f ca="1">IF(AND($C51="Objetivo",CK$8&gt;=$F51,CK$8&lt;=$F51+$G51-1),2,IF(AND($C51="Hito",CK$8&gt;=$F51,CK$8&lt;=$F51+$G51-1),1,""))</f>
        <v/>
      </c>
      <c r="CL51" s="5" t="str">
        <f ca="1">IF(AND($C51="Objetivo",CL$8&gt;=$F51,CL$8&lt;=$F51+$G51-1),2,IF(AND($C51="Hito",CL$8&gt;=$F51,CL$8&lt;=$F51+$G51-1),1,""))</f>
        <v/>
      </c>
      <c r="CM51" s="5" t="str">
        <f ca="1">IF(AND($C51="Objetivo",CM$8&gt;=$F51,CM$8&lt;=$F51+$G51-1),2,IF(AND($C51="Hito",CM$8&gt;=$F51,CM$8&lt;=$F51+$G51-1),1,""))</f>
        <v/>
      </c>
      <c r="CN51" s="5" t="str">
        <f ca="1">IF(AND($C51="Objetivo",CN$8&gt;=$F51,CN$8&lt;=$F51+$G51-1),2,IF(AND($C51="Hito",CN$8&gt;=$F51,CN$8&lt;=$F51+$G51-1),1,""))</f>
        <v/>
      </c>
      <c r="CO51" s="5" t="str">
        <f ca="1">IF(AND($C51="Objetivo",CO$8&gt;=$F51,CO$8&lt;=$F51+$G51-1),2,IF(AND($C51="Hito",CO$8&gt;=$F51,CO$8&lt;=$F51+$G51-1),1,""))</f>
        <v/>
      </c>
      <c r="CP51" s="5" t="str">
        <f ca="1">IF(AND($C51="Objetivo",CP$8&gt;=$F51,CP$8&lt;=$F51+$G51-1),2,IF(AND($C51="Hito",CP$8&gt;=$F51,CP$8&lt;=$F51+$G51-1),1,""))</f>
        <v/>
      </c>
      <c r="CQ51" s="5" t="str">
        <f ca="1">IF(AND($C51="Objetivo",CQ$8&gt;=$F51,CQ$8&lt;=$F51+$G51-1),2,IF(AND($C51="Hito",CQ$8&gt;=$F51,CQ$8&lt;=$F51+$G51-1),1,""))</f>
        <v/>
      </c>
      <c r="CR51" s="5" t="str">
        <f ca="1">IF(AND($C51="Objetivo",CR$8&gt;=$F51,CR$8&lt;=$F51+$G51-1),2,IF(AND($C51="Hito",CR$8&gt;=$F51,CR$8&lt;=$F51+$G51-1),1,""))</f>
        <v/>
      </c>
      <c r="CS51" s="5" t="str">
        <f ca="1">IF(AND($C51="Objetivo",CS$8&gt;=$F51,CS$8&lt;=$F51+$G51-1),2,IF(AND($C51="Hito",CS$8&gt;=$F51,CS$8&lt;=$F51+$G51-1),1,""))</f>
        <v/>
      </c>
      <c r="CT51" s="5" t="str">
        <f ca="1">IF(AND($C51="Objetivo",CT$8&gt;=$F51,CT$8&lt;=$F51+$G51-1),2,IF(AND($C51="Hito",CT$8&gt;=$F51,CT$8&lt;=$F51+$G51-1),1,""))</f>
        <v/>
      </c>
      <c r="CU51" s="5" t="str">
        <f ca="1">IF(AND($C51="Objetivo",CU$8&gt;=$F51,CU$8&lt;=$F51+$G51-1),2,IF(AND($C51="Hito",CU$8&gt;=$F51,CU$8&lt;=$F51+$G51-1),1,""))</f>
        <v/>
      </c>
      <c r="CV51" s="5" t="str">
        <f ca="1">IF(AND($C51="Objetivo",CV$8&gt;=$F51,CV$8&lt;=$F51+$G51-1),2,IF(AND($C51="Hito",CV$8&gt;=$F51,CV$8&lt;=$F51+$G51-1),1,""))</f>
        <v/>
      </c>
      <c r="CW51" s="5" t="str">
        <f ca="1">IF(AND($C51="Objetivo",CW$8&gt;=$F51,CW$8&lt;=$F51+$G51-1),2,IF(AND($C51="Hito",CW$8&gt;=$F51,CW$8&lt;=$F51+$G51-1),1,""))</f>
        <v/>
      </c>
      <c r="CX51" s="5" t="str">
        <f ca="1">IF(AND($C51="Objetivo",CX$8&gt;=$F51,CX$8&lt;=$F51+$G51-1),2,IF(AND($C51="Hito",CX$8&gt;=$F51,CX$8&lt;=$F51+$G51-1),1,""))</f>
        <v/>
      </c>
      <c r="CY51" s="5" t="str">
        <f ca="1">IF(AND($C51="Objetivo",CY$8&gt;=$F51,CY$8&lt;=$F51+$G51-1),2,IF(AND($C51="Hito",CY$8&gt;=$F51,CY$8&lt;=$F51+$G51-1),1,""))</f>
        <v/>
      </c>
      <c r="CZ51" s="5" t="str">
        <f ca="1">IF(AND($C51="Objetivo",CZ$8&gt;=$F51,CZ$8&lt;=$F51+$G51-1),2,IF(AND($C51="Hito",CZ$8&gt;=$F51,CZ$8&lt;=$F51+$G51-1),1,""))</f>
        <v/>
      </c>
      <c r="DA51" s="5" t="str">
        <f ca="1">IF(AND($C51="Objetivo",DA$8&gt;=$F51,DA$8&lt;=$F51+$G51-1),2,IF(AND($C51="Hito",DA$8&gt;=$F51,DA$8&lt;=$F51+$G51-1),1,""))</f>
        <v/>
      </c>
      <c r="DB51" s="5" t="str">
        <f ca="1">IF(AND($C51="Objetivo",DB$8&gt;=$F51,DB$8&lt;=$F51+$G51-1),2,IF(AND($C51="Hito",DB$8&gt;=$F51,DB$8&lt;=$F51+$G51-1),1,""))</f>
        <v/>
      </c>
    </row>
    <row r="52" spans="1:106" s="1" customFormat="1" ht="40.15" customHeight="1" x14ac:dyDescent="0.25">
      <c r="A52" s="3"/>
      <c r="B52" s="34" t="s">
        <v>80</v>
      </c>
      <c r="C52" s="34" t="s">
        <v>3</v>
      </c>
      <c r="D52" s="34" t="s">
        <v>56</v>
      </c>
      <c r="E52" s="50">
        <v>1</v>
      </c>
      <c r="F52" s="40">
        <v>45980</v>
      </c>
      <c r="G52" s="57">
        <v>1</v>
      </c>
      <c r="H52" s="54" t="s">
        <v>99</v>
      </c>
      <c r="I52" s="59" t="s">
        <v>103</v>
      </c>
      <c r="J52" s="7"/>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t="str">
        <f ca="1">IF(AND($C52="Objetivo",BO$8&gt;=$F52,BO$8&lt;=$F52+$G52-1),2,IF(AND($C52="Hito",BO$8&gt;=$F52,BO$8&lt;=$F52+$G52-1),1,""))</f>
        <v/>
      </c>
      <c r="BP52" s="5" t="str">
        <f ca="1">IF(AND($C52="Objetivo",BP$8&gt;=$F52,BP$8&lt;=$F52+$G52-1),2,IF(AND($C52="Hito",BP$8&gt;=$F52,BP$8&lt;=$F52+$G52-1),1,""))</f>
        <v/>
      </c>
      <c r="BQ52" s="5" t="str">
        <f ca="1">IF(AND($C52="Objetivo",BQ$8&gt;=$F52,BQ$8&lt;=$F52+$G52-1),2,IF(AND($C52="Hito",BQ$8&gt;=$F52,BQ$8&lt;=$F52+$G52-1),1,""))</f>
        <v/>
      </c>
      <c r="BR52" s="5" t="str">
        <f ca="1">IF(AND($C52="Objetivo",BR$8&gt;=$F52,BR$8&lt;=$F52+$G52-1),2,IF(AND($C52="Hito",BR$8&gt;=$F52,BR$8&lt;=$F52+$G52-1),1,""))</f>
        <v/>
      </c>
      <c r="BS52" s="5" t="str">
        <f ca="1">IF(AND($C52="Objetivo",BS$8&gt;=$F52,BS$8&lt;=$F52+$G52-1),2,IF(AND($C52="Hito",BS$8&gt;=$F52,BS$8&lt;=$F52+$G52-1),1,""))</f>
        <v/>
      </c>
      <c r="BT52" s="5" t="str">
        <f ca="1">IF(AND($C52="Objetivo",BT$8&gt;=$F52,BT$8&lt;=$F52+$G52-1),2,IF(AND($C52="Hito",BT$8&gt;=$F52,BT$8&lt;=$F52+$G52-1),1,""))</f>
        <v/>
      </c>
      <c r="BU52" s="5" t="str">
        <f ca="1">IF(AND($C52="Objetivo",BU$8&gt;=$F52,BU$8&lt;=$F52+$G52-1),2,IF(AND($C52="Hito",BU$8&gt;=$F52,BU$8&lt;=$F52+$G52-1),1,""))</f>
        <v/>
      </c>
      <c r="BV52" s="5" t="str">
        <f ca="1">IF(AND($C52="Objetivo",BV$8&gt;=$F52,BV$8&lt;=$F52+$G52-1),2,IF(AND($C52="Hito",BV$8&gt;=$F52,BV$8&lt;=$F52+$G52-1),1,""))</f>
        <v/>
      </c>
      <c r="BW52" s="5" t="str">
        <f ca="1">IF(AND($C52="Objetivo",BW$8&gt;=$F52,BW$8&lt;=$F52+$G52-1),2,IF(AND($C52="Hito",BW$8&gt;=$F52,BW$8&lt;=$F52+$G52-1),1,""))</f>
        <v/>
      </c>
      <c r="BX52" s="5" t="str">
        <f ca="1">IF(AND($C52="Objetivo",BX$8&gt;=$F52,BX$8&lt;=$F52+$G52-1),2,IF(AND($C52="Hito",BX$8&gt;=$F52,BX$8&lt;=$F52+$G52-1),1,""))</f>
        <v/>
      </c>
      <c r="BY52" s="5" t="str">
        <f ca="1">IF(AND($C52="Objetivo",BY$8&gt;=$F52,BY$8&lt;=$F52+$G52-1),2,IF(AND($C52="Hito",BY$8&gt;=$F52,BY$8&lt;=$F52+$G52-1),1,""))</f>
        <v/>
      </c>
      <c r="BZ52" s="5" t="str">
        <f ca="1">IF(AND($C52="Objetivo",BZ$8&gt;=$F52,BZ$8&lt;=$F52+$G52-1),2,IF(AND($C52="Hito",BZ$8&gt;=$F52,BZ$8&lt;=$F52+$G52-1),1,""))</f>
        <v/>
      </c>
      <c r="CA52" s="5" t="str">
        <f ca="1">IF(AND($C52="Objetivo",CA$8&gt;=$F52,CA$8&lt;=$F52+$G52-1),2,IF(AND($C52="Hito",CA$8&gt;=$F52,CA$8&lt;=$F52+$G52-1),1,""))</f>
        <v/>
      </c>
      <c r="CB52" s="5" t="str">
        <f ca="1">IF(AND($C52="Objetivo",CB$8&gt;=$F52,CB$8&lt;=$F52+$G52-1),2,IF(AND($C52="Hito",CB$8&gt;=$F52,CB$8&lt;=$F52+$G52-1),1,""))</f>
        <v/>
      </c>
      <c r="CC52" s="5" t="str">
        <f ca="1">IF(AND($C52="Objetivo",CC$8&gt;=$F52,CC$8&lt;=$F52+$G52-1),2,IF(AND($C52="Hito",CC$8&gt;=$F52,CC$8&lt;=$F52+$G52-1),1,""))</f>
        <v/>
      </c>
      <c r="CD52" s="5" t="str">
        <f ca="1">IF(AND($C52="Objetivo",CD$8&gt;=$F52,CD$8&lt;=$F52+$G52-1),2,IF(AND($C52="Hito",CD$8&gt;=$F52,CD$8&lt;=$F52+$G52-1),1,""))</f>
        <v/>
      </c>
      <c r="CE52" s="5" t="str">
        <f ca="1">IF(AND($C52="Objetivo",CE$8&gt;=$F52,CE$8&lt;=$F52+$G52-1),2,IF(AND($C52="Hito",CE$8&gt;=$F52,CE$8&lt;=$F52+$G52-1),1,""))</f>
        <v/>
      </c>
      <c r="CF52" s="5" t="str">
        <f ca="1">IF(AND($C52="Objetivo",CF$8&gt;=$F52,CF$8&lt;=$F52+$G52-1),2,IF(AND($C52="Hito",CF$8&gt;=$F52,CF$8&lt;=$F52+$G52-1),1,""))</f>
        <v/>
      </c>
      <c r="CG52" s="5" t="str">
        <f ca="1">IF(AND($C52="Objetivo",CG$8&gt;=$F52,CG$8&lt;=$F52+$G52-1),2,IF(AND($C52="Hito",CG$8&gt;=$F52,CG$8&lt;=$F52+$G52-1),1,""))</f>
        <v/>
      </c>
      <c r="CH52" s="5" t="str">
        <f ca="1">IF(AND($C52="Objetivo",CH$8&gt;=$F52,CH$8&lt;=$F52+$G52-1),2,IF(AND($C52="Hito",CH$8&gt;=$F52,CH$8&lt;=$F52+$G52-1),1,""))</f>
        <v/>
      </c>
      <c r="CI52" s="5" t="str">
        <f ca="1">IF(AND($C52="Objetivo",CI$8&gt;=$F52,CI$8&lt;=$F52+$G52-1),2,IF(AND($C52="Hito",CI$8&gt;=$F52,CI$8&lt;=$F52+$G52-1),1,""))</f>
        <v/>
      </c>
      <c r="CJ52" s="5" t="str">
        <f ca="1">IF(AND($C52="Objetivo",CJ$8&gt;=$F52,CJ$8&lt;=$F52+$G52-1),2,IF(AND($C52="Hito",CJ$8&gt;=$F52,CJ$8&lt;=$F52+$G52-1),1,""))</f>
        <v/>
      </c>
      <c r="CK52" s="5" t="str">
        <f ca="1">IF(AND($C52="Objetivo",CK$8&gt;=$F52,CK$8&lt;=$F52+$G52-1),2,IF(AND($C52="Hito",CK$8&gt;=$F52,CK$8&lt;=$F52+$G52-1),1,""))</f>
        <v/>
      </c>
      <c r="CL52" s="5" t="str">
        <f ca="1">IF(AND($C52="Objetivo",CL$8&gt;=$F52,CL$8&lt;=$F52+$G52-1),2,IF(AND($C52="Hito",CL$8&gt;=$F52,CL$8&lt;=$F52+$G52-1),1,""))</f>
        <v/>
      </c>
      <c r="CM52" s="5" t="str">
        <f ca="1">IF(AND($C52="Objetivo",CM$8&gt;=$F52,CM$8&lt;=$F52+$G52-1),2,IF(AND($C52="Hito",CM$8&gt;=$F52,CM$8&lt;=$F52+$G52-1),1,""))</f>
        <v/>
      </c>
      <c r="CN52" s="5" t="str">
        <f ca="1">IF(AND($C52="Objetivo",CN$8&gt;=$F52,CN$8&lt;=$F52+$G52-1),2,IF(AND($C52="Hito",CN$8&gt;=$F52,CN$8&lt;=$F52+$G52-1),1,""))</f>
        <v/>
      </c>
      <c r="CO52" s="5" t="str">
        <f ca="1">IF(AND($C52="Objetivo",CO$8&gt;=$F52,CO$8&lt;=$F52+$G52-1),2,IF(AND($C52="Hito",CO$8&gt;=$F52,CO$8&lt;=$F52+$G52-1),1,""))</f>
        <v/>
      </c>
      <c r="CP52" s="5" t="str">
        <f ca="1">IF(AND($C52="Objetivo",CP$8&gt;=$F52,CP$8&lt;=$F52+$G52-1),2,IF(AND($C52="Hito",CP$8&gt;=$F52,CP$8&lt;=$F52+$G52-1),1,""))</f>
        <v/>
      </c>
      <c r="CQ52" s="5" t="str">
        <f ca="1">IF(AND($C52="Objetivo",CQ$8&gt;=$F52,CQ$8&lt;=$F52+$G52-1),2,IF(AND($C52="Hito",CQ$8&gt;=$F52,CQ$8&lt;=$F52+$G52-1),1,""))</f>
        <v/>
      </c>
      <c r="CR52" s="5" t="str">
        <f ca="1">IF(AND($C52="Objetivo",CR$8&gt;=$F52,CR$8&lt;=$F52+$G52-1),2,IF(AND($C52="Hito",CR$8&gt;=$F52,CR$8&lt;=$F52+$G52-1),1,""))</f>
        <v/>
      </c>
      <c r="CS52" s="5" t="str">
        <f ca="1">IF(AND($C52="Objetivo",CS$8&gt;=$F52,CS$8&lt;=$F52+$G52-1),2,IF(AND($C52="Hito",CS$8&gt;=$F52,CS$8&lt;=$F52+$G52-1),1,""))</f>
        <v/>
      </c>
      <c r="CT52" s="5" t="str">
        <f ca="1">IF(AND($C52="Objetivo",CT$8&gt;=$F52,CT$8&lt;=$F52+$G52-1),2,IF(AND($C52="Hito",CT$8&gt;=$F52,CT$8&lt;=$F52+$G52-1),1,""))</f>
        <v/>
      </c>
      <c r="CU52" s="5" t="str">
        <f ca="1">IF(AND($C52="Objetivo",CU$8&gt;=$F52,CU$8&lt;=$F52+$G52-1),2,IF(AND($C52="Hito",CU$8&gt;=$F52,CU$8&lt;=$F52+$G52-1),1,""))</f>
        <v/>
      </c>
      <c r="CV52" s="5" t="str">
        <f ca="1">IF(AND($C52="Objetivo",CV$8&gt;=$F52,CV$8&lt;=$F52+$G52-1),2,IF(AND($C52="Hito",CV$8&gt;=$F52,CV$8&lt;=$F52+$G52-1),1,""))</f>
        <v/>
      </c>
      <c r="CW52" s="5" t="str">
        <f ca="1">IF(AND($C52="Objetivo",CW$8&gt;=$F52,CW$8&lt;=$F52+$G52-1),2,IF(AND($C52="Hito",CW$8&gt;=$F52,CW$8&lt;=$F52+$G52-1),1,""))</f>
        <v/>
      </c>
      <c r="CX52" s="5" t="str">
        <f ca="1">IF(AND($C52="Objetivo",CX$8&gt;=$F52,CX$8&lt;=$F52+$G52-1),2,IF(AND($C52="Hito",CX$8&gt;=$F52,CX$8&lt;=$F52+$G52-1),1,""))</f>
        <v/>
      </c>
      <c r="CY52" s="5" t="str">
        <f ca="1">IF(AND($C52="Objetivo",CY$8&gt;=$F52,CY$8&lt;=$F52+$G52-1),2,IF(AND($C52="Hito",CY$8&gt;=$F52,CY$8&lt;=$F52+$G52-1),1,""))</f>
        <v/>
      </c>
      <c r="CZ52" s="5" t="str">
        <f ca="1">IF(AND($C52="Objetivo",CZ$8&gt;=$F52,CZ$8&lt;=$F52+$G52-1),2,IF(AND($C52="Hito",CZ$8&gt;=$F52,CZ$8&lt;=$F52+$G52-1),1,""))</f>
        <v/>
      </c>
      <c r="DA52" s="5" t="str">
        <f ca="1">IF(AND($C52="Objetivo",DA$8&gt;=$F52,DA$8&lt;=$F52+$G52-1),2,IF(AND($C52="Hito",DA$8&gt;=$F52,DA$8&lt;=$F52+$G52-1),1,""))</f>
        <v/>
      </c>
      <c r="DB52" s="5" t="str">
        <f ca="1">IF(AND($C52="Objetivo",DB$8&gt;=$F52,DB$8&lt;=$F52+$G52-1),2,IF(AND($C52="Hito",DB$8&gt;=$F52,DB$8&lt;=$F52+$G52-1),1,""))</f>
        <v/>
      </c>
    </row>
    <row r="53" spans="1:106" s="1" customFormat="1" ht="40.15" customHeight="1" x14ac:dyDescent="0.25">
      <c r="A53" s="3"/>
      <c r="B53" s="41" t="s">
        <v>81</v>
      </c>
      <c r="C53" s="34" t="s">
        <v>4</v>
      </c>
      <c r="D53" s="34" t="s">
        <v>70</v>
      </c>
      <c r="E53" s="50">
        <v>1</v>
      </c>
      <c r="F53" s="40">
        <v>45981</v>
      </c>
      <c r="G53" s="57">
        <v>1</v>
      </c>
      <c r="H53" s="32" t="s">
        <v>100</v>
      </c>
      <c r="I53" s="58" t="s">
        <v>104</v>
      </c>
      <c r="J53" s="7"/>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O53" s="5" t="str">
        <f ca="1">IF(AND($C53="Objetivo",BO$8&gt;=$F53,BO$8&lt;=$F53+$G53-1),2,IF(AND($C53="Hito",BO$8&gt;=$F53,BO$8&lt;=$F53+$G53-1),1,""))</f>
        <v/>
      </c>
      <c r="BP53" s="5" t="str">
        <f ca="1">IF(AND($C53="Objetivo",BP$8&gt;=$F53,BP$8&lt;=$F53+$G53-1),2,IF(AND($C53="Hito",BP$8&gt;=$F53,BP$8&lt;=$F53+$G53-1),1,""))</f>
        <v/>
      </c>
      <c r="BQ53" s="5" t="str">
        <f ca="1">IF(AND($C53="Objetivo",BQ$8&gt;=$F53,BQ$8&lt;=$F53+$G53-1),2,IF(AND($C53="Hito",BQ$8&gt;=$F53,BQ$8&lt;=$F53+$G53-1),1,""))</f>
        <v/>
      </c>
      <c r="BR53" s="5" t="str">
        <f ca="1">IF(AND($C53="Objetivo",BR$8&gt;=$F53,BR$8&lt;=$F53+$G53-1),2,IF(AND($C53="Hito",BR$8&gt;=$F53,BR$8&lt;=$F53+$G53-1),1,""))</f>
        <v/>
      </c>
      <c r="BS53" s="5" t="str">
        <f ca="1">IF(AND($C53="Objetivo",BS$8&gt;=$F53,BS$8&lt;=$F53+$G53-1),2,IF(AND($C53="Hito",BS$8&gt;=$F53,BS$8&lt;=$F53+$G53-1),1,""))</f>
        <v/>
      </c>
      <c r="BT53" s="5" t="str">
        <f ca="1">IF(AND($C53="Objetivo",BT$8&gt;=$F53,BT$8&lt;=$F53+$G53-1),2,IF(AND($C53="Hito",BT$8&gt;=$F53,BT$8&lt;=$F53+$G53-1),1,""))</f>
        <v/>
      </c>
      <c r="BU53" s="5" t="str">
        <f ca="1">IF(AND($C53="Objetivo",BU$8&gt;=$F53,BU$8&lt;=$F53+$G53-1),2,IF(AND($C53="Hito",BU$8&gt;=$F53,BU$8&lt;=$F53+$G53-1),1,""))</f>
        <v/>
      </c>
      <c r="BV53" s="5" t="str">
        <f ca="1">IF(AND($C53="Objetivo",BV$8&gt;=$F53,BV$8&lt;=$F53+$G53-1),2,IF(AND($C53="Hito",BV$8&gt;=$F53,BV$8&lt;=$F53+$G53-1),1,""))</f>
        <v/>
      </c>
      <c r="BW53" s="5" t="str">
        <f ca="1">IF(AND($C53="Objetivo",BW$8&gt;=$F53,BW$8&lt;=$F53+$G53-1),2,IF(AND($C53="Hito",BW$8&gt;=$F53,BW$8&lt;=$F53+$G53-1),1,""))</f>
        <v/>
      </c>
      <c r="BX53" s="5" t="str">
        <f ca="1">IF(AND($C53="Objetivo",BX$8&gt;=$F53,BX$8&lt;=$F53+$G53-1),2,IF(AND($C53="Hito",BX$8&gt;=$F53,BX$8&lt;=$F53+$G53-1),1,""))</f>
        <v/>
      </c>
      <c r="BY53" s="5" t="str">
        <f ca="1">IF(AND($C53="Objetivo",BY$8&gt;=$F53,BY$8&lt;=$F53+$G53-1),2,IF(AND($C53="Hito",BY$8&gt;=$F53,BY$8&lt;=$F53+$G53-1),1,""))</f>
        <v/>
      </c>
      <c r="BZ53" s="5" t="str">
        <f ca="1">IF(AND($C53="Objetivo",BZ$8&gt;=$F53,BZ$8&lt;=$F53+$G53-1),2,IF(AND($C53="Hito",BZ$8&gt;=$F53,BZ$8&lt;=$F53+$G53-1),1,""))</f>
        <v/>
      </c>
      <c r="CA53" s="5" t="str">
        <f ca="1">IF(AND($C53="Objetivo",CA$8&gt;=$F53,CA$8&lt;=$F53+$G53-1),2,IF(AND($C53="Hito",CA$8&gt;=$F53,CA$8&lt;=$F53+$G53-1),1,""))</f>
        <v/>
      </c>
      <c r="CB53" s="5" t="str">
        <f ca="1">IF(AND($C53="Objetivo",CB$8&gt;=$F53,CB$8&lt;=$F53+$G53-1),2,IF(AND($C53="Hito",CB$8&gt;=$F53,CB$8&lt;=$F53+$G53-1),1,""))</f>
        <v/>
      </c>
      <c r="CC53" s="5" t="str">
        <f ca="1">IF(AND($C53="Objetivo",CC$8&gt;=$F53,CC$8&lt;=$F53+$G53-1),2,IF(AND($C53="Hito",CC$8&gt;=$F53,CC$8&lt;=$F53+$G53-1),1,""))</f>
        <v/>
      </c>
      <c r="CD53" s="5" t="str">
        <f ca="1">IF(AND($C53="Objetivo",CD$8&gt;=$F53,CD$8&lt;=$F53+$G53-1),2,IF(AND($C53="Hito",CD$8&gt;=$F53,CD$8&lt;=$F53+$G53-1),1,""))</f>
        <v/>
      </c>
      <c r="CE53" s="5" t="str">
        <f ca="1">IF(AND($C53="Objetivo",CE$8&gt;=$F53,CE$8&lt;=$F53+$G53-1),2,IF(AND($C53="Hito",CE$8&gt;=$F53,CE$8&lt;=$F53+$G53-1),1,""))</f>
        <v/>
      </c>
      <c r="CF53" s="5" t="str">
        <f ca="1">IF(AND($C53="Objetivo",CF$8&gt;=$F53,CF$8&lt;=$F53+$G53-1),2,IF(AND($C53="Hito",CF$8&gt;=$F53,CF$8&lt;=$F53+$G53-1),1,""))</f>
        <v/>
      </c>
      <c r="CG53" s="5" t="str">
        <f ca="1">IF(AND($C53="Objetivo",CG$8&gt;=$F53,CG$8&lt;=$F53+$G53-1),2,IF(AND($C53="Hito",CG$8&gt;=$F53,CG$8&lt;=$F53+$G53-1),1,""))</f>
        <v/>
      </c>
      <c r="CH53" s="5" t="str">
        <f ca="1">IF(AND($C53="Objetivo",CH$8&gt;=$F53,CH$8&lt;=$F53+$G53-1),2,IF(AND($C53="Hito",CH$8&gt;=$F53,CH$8&lt;=$F53+$G53-1),1,""))</f>
        <v/>
      </c>
      <c r="CI53" s="5" t="str">
        <f ca="1">IF(AND($C53="Objetivo",CI$8&gt;=$F53,CI$8&lt;=$F53+$G53-1),2,IF(AND($C53="Hito",CI$8&gt;=$F53,CI$8&lt;=$F53+$G53-1),1,""))</f>
        <v/>
      </c>
      <c r="CJ53" s="5" t="str">
        <f ca="1">IF(AND($C53="Objetivo",CJ$8&gt;=$F53,CJ$8&lt;=$F53+$G53-1),2,IF(AND($C53="Hito",CJ$8&gt;=$F53,CJ$8&lt;=$F53+$G53-1),1,""))</f>
        <v/>
      </c>
      <c r="CK53" s="5" t="str">
        <f ca="1">IF(AND($C53="Objetivo",CK$8&gt;=$F53,CK$8&lt;=$F53+$G53-1),2,IF(AND($C53="Hito",CK$8&gt;=$F53,CK$8&lt;=$F53+$G53-1),1,""))</f>
        <v/>
      </c>
      <c r="CL53" s="5" t="str">
        <f ca="1">IF(AND($C53="Objetivo",CL$8&gt;=$F53,CL$8&lt;=$F53+$G53-1),2,IF(AND($C53="Hito",CL$8&gt;=$F53,CL$8&lt;=$F53+$G53-1),1,""))</f>
        <v/>
      </c>
      <c r="CM53" s="5" t="str">
        <f ca="1">IF(AND($C53="Objetivo",CM$8&gt;=$F53,CM$8&lt;=$F53+$G53-1),2,IF(AND($C53="Hito",CM$8&gt;=$F53,CM$8&lt;=$F53+$G53-1),1,""))</f>
        <v/>
      </c>
      <c r="CN53" s="5" t="str">
        <f ca="1">IF(AND($C53="Objetivo",CN$8&gt;=$F53,CN$8&lt;=$F53+$G53-1),2,IF(AND($C53="Hito",CN$8&gt;=$F53,CN$8&lt;=$F53+$G53-1),1,""))</f>
        <v/>
      </c>
      <c r="CO53" s="5" t="str">
        <f ca="1">IF(AND($C53="Objetivo",CO$8&gt;=$F53,CO$8&lt;=$F53+$G53-1),2,IF(AND($C53="Hito",CO$8&gt;=$F53,CO$8&lt;=$F53+$G53-1),1,""))</f>
        <v/>
      </c>
      <c r="CP53" s="5" t="str">
        <f ca="1">IF(AND($C53="Objetivo",CP$8&gt;=$F53,CP$8&lt;=$F53+$G53-1),2,IF(AND($C53="Hito",CP$8&gt;=$F53,CP$8&lt;=$F53+$G53-1),1,""))</f>
        <v/>
      </c>
      <c r="CQ53" s="5" t="str">
        <f ca="1">IF(AND($C53="Objetivo",CQ$8&gt;=$F53,CQ$8&lt;=$F53+$G53-1),2,IF(AND($C53="Hito",CQ$8&gt;=$F53,CQ$8&lt;=$F53+$G53-1),1,""))</f>
        <v/>
      </c>
      <c r="CR53" s="5" t="str">
        <f ca="1">IF(AND($C53="Objetivo",CR$8&gt;=$F53,CR$8&lt;=$F53+$G53-1),2,IF(AND($C53="Hito",CR$8&gt;=$F53,CR$8&lt;=$F53+$G53-1),1,""))</f>
        <v/>
      </c>
      <c r="CS53" s="5" t="str">
        <f ca="1">IF(AND($C53="Objetivo",CS$8&gt;=$F53,CS$8&lt;=$F53+$G53-1),2,IF(AND($C53="Hito",CS$8&gt;=$F53,CS$8&lt;=$F53+$G53-1),1,""))</f>
        <v/>
      </c>
      <c r="CT53" s="5" t="str">
        <f ca="1">IF(AND($C53="Objetivo",CT$8&gt;=$F53,CT$8&lt;=$F53+$G53-1),2,IF(AND($C53="Hito",CT$8&gt;=$F53,CT$8&lt;=$F53+$G53-1),1,""))</f>
        <v/>
      </c>
      <c r="CU53" s="5" t="str">
        <f ca="1">IF(AND($C53="Objetivo",CU$8&gt;=$F53,CU$8&lt;=$F53+$G53-1),2,IF(AND($C53="Hito",CU$8&gt;=$F53,CU$8&lt;=$F53+$G53-1),1,""))</f>
        <v/>
      </c>
      <c r="CV53" s="5" t="str">
        <f ca="1">IF(AND($C53="Objetivo",CV$8&gt;=$F53,CV$8&lt;=$F53+$G53-1),2,IF(AND($C53="Hito",CV$8&gt;=$F53,CV$8&lt;=$F53+$G53-1),1,""))</f>
        <v/>
      </c>
      <c r="CW53" s="5" t="str">
        <f ca="1">IF(AND($C53="Objetivo",CW$8&gt;=$F53,CW$8&lt;=$F53+$G53-1),2,IF(AND($C53="Hito",CW$8&gt;=$F53,CW$8&lt;=$F53+$G53-1),1,""))</f>
        <v/>
      </c>
      <c r="CX53" s="5" t="str">
        <f ca="1">IF(AND($C53="Objetivo",CX$8&gt;=$F53,CX$8&lt;=$F53+$G53-1),2,IF(AND($C53="Hito",CX$8&gt;=$F53,CX$8&lt;=$F53+$G53-1),1,""))</f>
        <v/>
      </c>
      <c r="CY53" s="5" t="str">
        <f ca="1">IF(AND($C53="Objetivo",CY$8&gt;=$F53,CY$8&lt;=$F53+$G53-1),2,IF(AND($C53="Hito",CY$8&gt;=$F53,CY$8&lt;=$F53+$G53-1),1,""))</f>
        <v/>
      </c>
      <c r="CZ53" s="5" t="str">
        <f ca="1">IF(AND($C53="Objetivo",CZ$8&gt;=$F53,CZ$8&lt;=$F53+$G53-1),2,IF(AND($C53="Hito",CZ$8&gt;=$F53,CZ$8&lt;=$F53+$G53-1),1,""))</f>
        <v/>
      </c>
      <c r="DA53" s="5" t="str">
        <f ca="1">IF(AND($C53="Objetivo",DA$8&gt;=$F53,DA$8&lt;=$F53+$G53-1),2,IF(AND($C53="Hito",DA$8&gt;=$F53,DA$8&lt;=$F53+$G53-1),1,""))</f>
        <v/>
      </c>
      <c r="DB53" s="5" t="str">
        <f ca="1">IF(AND($C53="Objetivo",DB$8&gt;=$F53,DB$8&lt;=$F53+$G53-1),2,IF(AND($C53="Hito",DB$8&gt;=$F53,DB$8&lt;=$F53+$G53-1),1,""))</f>
        <v/>
      </c>
    </row>
    <row r="54" spans="1:106" s="1" customFormat="1" ht="40.15" customHeight="1" x14ac:dyDescent="0.25">
      <c r="A54" s="3"/>
      <c r="B54" s="41"/>
      <c r="C54" s="34"/>
      <c r="D54" s="34"/>
      <c r="E54" s="50"/>
      <c r="F54" s="40"/>
      <c r="G54" s="57"/>
      <c r="H54" s="29"/>
      <c r="I54" s="29"/>
      <c r="J54" s="7"/>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t="str">
        <f ca="1">IF(AND($C54="Objetivo",BO$8&gt;=$F54,BO$8&lt;=$F54+$G54-1),2,IF(AND($C54="Hito",BO$8&gt;=$F54,BO$8&lt;=$F54+$G54-1),1,""))</f>
        <v/>
      </c>
      <c r="BP54" s="5" t="str">
        <f ca="1">IF(AND($C54="Objetivo",BP$8&gt;=$F54,BP$8&lt;=$F54+$G54-1),2,IF(AND($C54="Hito",BP$8&gt;=$F54,BP$8&lt;=$F54+$G54-1),1,""))</f>
        <v/>
      </c>
      <c r="BQ54" s="5" t="str">
        <f ca="1">IF(AND($C54="Objetivo",BQ$8&gt;=$F54,BQ$8&lt;=$F54+$G54-1),2,IF(AND($C54="Hito",BQ$8&gt;=$F54,BQ$8&lt;=$F54+$G54-1),1,""))</f>
        <v/>
      </c>
      <c r="BR54" s="5" t="str">
        <f ca="1">IF(AND($C54="Objetivo",BR$8&gt;=$F54,BR$8&lt;=$F54+$G54-1),2,IF(AND($C54="Hito",BR$8&gt;=$F54,BR$8&lt;=$F54+$G54-1),1,""))</f>
        <v/>
      </c>
      <c r="BS54" s="5" t="str">
        <f ca="1">IF(AND($C54="Objetivo",BS$8&gt;=$F54,BS$8&lt;=$F54+$G54-1),2,IF(AND($C54="Hito",BS$8&gt;=$F54,BS$8&lt;=$F54+$G54-1),1,""))</f>
        <v/>
      </c>
      <c r="BT54" s="5" t="str">
        <f ca="1">IF(AND($C54="Objetivo",BT$8&gt;=$F54,BT$8&lt;=$F54+$G54-1),2,IF(AND($C54="Hito",BT$8&gt;=$F54,BT$8&lt;=$F54+$G54-1),1,""))</f>
        <v/>
      </c>
      <c r="BU54" s="5" t="str">
        <f ca="1">IF(AND($C54="Objetivo",BU$8&gt;=$F54,BU$8&lt;=$F54+$G54-1),2,IF(AND($C54="Hito",BU$8&gt;=$F54,BU$8&lt;=$F54+$G54-1),1,""))</f>
        <v/>
      </c>
      <c r="BV54" s="5" t="str">
        <f ca="1">IF(AND($C54="Objetivo",BV$8&gt;=$F54,BV$8&lt;=$F54+$G54-1),2,IF(AND($C54="Hito",BV$8&gt;=$F54,BV$8&lt;=$F54+$G54-1),1,""))</f>
        <v/>
      </c>
      <c r="BW54" s="5" t="str">
        <f ca="1">IF(AND($C54="Objetivo",BW$8&gt;=$F54,BW$8&lt;=$F54+$G54-1),2,IF(AND($C54="Hito",BW$8&gt;=$F54,BW$8&lt;=$F54+$G54-1),1,""))</f>
        <v/>
      </c>
      <c r="BX54" s="5" t="str">
        <f ca="1">IF(AND($C54="Objetivo",BX$8&gt;=$F54,BX$8&lt;=$F54+$G54-1),2,IF(AND($C54="Hito",BX$8&gt;=$F54,BX$8&lt;=$F54+$G54-1),1,""))</f>
        <v/>
      </c>
      <c r="BY54" s="5" t="str">
        <f ca="1">IF(AND($C54="Objetivo",BY$8&gt;=$F54,BY$8&lt;=$F54+$G54-1),2,IF(AND($C54="Hito",BY$8&gt;=$F54,BY$8&lt;=$F54+$G54-1),1,""))</f>
        <v/>
      </c>
      <c r="BZ54" s="5" t="str">
        <f ca="1">IF(AND($C54="Objetivo",BZ$8&gt;=$F54,BZ$8&lt;=$F54+$G54-1),2,IF(AND($C54="Hito",BZ$8&gt;=$F54,BZ$8&lt;=$F54+$G54-1),1,""))</f>
        <v/>
      </c>
      <c r="CA54" s="5" t="str">
        <f ca="1">IF(AND($C54="Objetivo",CA$8&gt;=$F54,CA$8&lt;=$F54+$G54-1),2,IF(AND($C54="Hito",CA$8&gt;=$F54,CA$8&lt;=$F54+$G54-1),1,""))</f>
        <v/>
      </c>
      <c r="CB54" s="5" t="str">
        <f ca="1">IF(AND($C54="Objetivo",CB$8&gt;=$F54,CB$8&lt;=$F54+$G54-1),2,IF(AND($C54="Hito",CB$8&gt;=$F54,CB$8&lt;=$F54+$G54-1),1,""))</f>
        <v/>
      </c>
      <c r="CC54" s="5" t="str">
        <f ca="1">IF(AND($C54="Objetivo",CC$8&gt;=$F54,CC$8&lt;=$F54+$G54-1),2,IF(AND($C54="Hito",CC$8&gt;=$F54,CC$8&lt;=$F54+$G54-1),1,""))</f>
        <v/>
      </c>
      <c r="CD54" s="5" t="str">
        <f ca="1">IF(AND($C54="Objetivo",CD$8&gt;=$F54,CD$8&lt;=$F54+$G54-1),2,IF(AND($C54="Hito",CD$8&gt;=$F54,CD$8&lt;=$F54+$G54-1),1,""))</f>
        <v/>
      </c>
      <c r="CE54" s="5" t="str">
        <f ca="1">IF(AND($C54="Objetivo",CE$8&gt;=$F54,CE$8&lt;=$F54+$G54-1),2,IF(AND($C54="Hito",CE$8&gt;=$F54,CE$8&lt;=$F54+$G54-1),1,""))</f>
        <v/>
      </c>
      <c r="CF54" s="5" t="str">
        <f ca="1">IF(AND($C54="Objetivo",CF$8&gt;=$F54,CF$8&lt;=$F54+$G54-1),2,IF(AND($C54="Hito",CF$8&gt;=$F54,CF$8&lt;=$F54+$G54-1),1,""))</f>
        <v/>
      </c>
      <c r="CG54" s="5" t="str">
        <f ca="1">IF(AND($C54="Objetivo",CG$8&gt;=$F54,CG$8&lt;=$F54+$G54-1),2,IF(AND($C54="Hito",CG$8&gt;=$F54,CG$8&lt;=$F54+$G54-1),1,""))</f>
        <v/>
      </c>
      <c r="CH54" s="5" t="str">
        <f ca="1">IF(AND($C54="Objetivo",CH$8&gt;=$F54,CH$8&lt;=$F54+$G54-1),2,IF(AND($C54="Hito",CH$8&gt;=$F54,CH$8&lt;=$F54+$G54-1),1,""))</f>
        <v/>
      </c>
      <c r="CI54" s="5" t="str">
        <f ca="1">IF(AND($C54="Objetivo",CI$8&gt;=$F54,CI$8&lt;=$F54+$G54-1),2,IF(AND($C54="Hito",CI$8&gt;=$F54,CI$8&lt;=$F54+$G54-1),1,""))</f>
        <v/>
      </c>
      <c r="CJ54" s="5" t="str">
        <f ca="1">IF(AND($C54="Objetivo",CJ$8&gt;=$F54,CJ$8&lt;=$F54+$G54-1),2,IF(AND($C54="Hito",CJ$8&gt;=$F54,CJ$8&lt;=$F54+$G54-1),1,""))</f>
        <v/>
      </c>
      <c r="CK54" s="5" t="str">
        <f ca="1">IF(AND($C54="Objetivo",CK$8&gt;=$F54,CK$8&lt;=$F54+$G54-1),2,IF(AND($C54="Hito",CK$8&gt;=$F54,CK$8&lt;=$F54+$G54-1),1,""))</f>
        <v/>
      </c>
      <c r="CL54" s="5" t="str">
        <f ca="1">IF(AND($C54="Objetivo",CL$8&gt;=$F54,CL$8&lt;=$F54+$G54-1),2,IF(AND($C54="Hito",CL$8&gt;=$F54,CL$8&lt;=$F54+$G54-1),1,""))</f>
        <v/>
      </c>
      <c r="CM54" s="5" t="str">
        <f ca="1">IF(AND($C54="Objetivo",CM$8&gt;=$F54,CM$8&lt;=$F54+$G54-1),2,IF(AND($C54="Hito",CM$8&gt;=$F54,CM$8&lt;=$F54+$G54-1),1,""))</f>
        <v/>
      </c>
      <c r="CN54" s="5" t="str">
        <f ca="1">IF(AND($C54="Objetivo",CN$8&gt;=$F54,CN$8&lt;=$F54+$G54-1),2,IF(AND($C54="Hito",CN$8&gt;=$F54,CN$8&lt;=$F54+$G54-1),1,""))</f>
        <v/>
      </c>
      <c r="CO54" s="5" t="str">
        <f ca="1">IF(AND($C54="Objetivo",CO$8&gt;=$F54,CO$8&lt;=$F54+$G54-1),2,IF(AND($C54="Hito",CO$8&gt;=$F54,CO$8&lt;=$F54+$G54-1),1,""))</f>
        <v/>
      </c>
      <c r="CP54" s="5" t="str">
        <f ca="1">IF(AND($C54="Objetivo",CP$8&gt;=$F54,CP$8&lt;=$F54+$G54-1),2,IF(AND($C54="Hito",CP$8&gt;=$F54,CP$8&lt;=$F54+$G54-1),1,""))</f>
        <v/>
      </c>
      <c r="CQ54" s="5" t="str">
        <f ca="1">IF(AND($C54="Objetivo",CQ$8&gt;=$F54,CQ$8&lt;=$F54+$G54-1),2,IF(AND($C54="Hito",CQ$8&gt;=$F54,CQ$8&lt;=$F54+$G54-1),1,""))</f>
        <v/>
      </c>
      <c r="CR54" s="5" t="str">
        <f ca="1">IF(AND($C54="Objetivo",CR$8&gt;=$F54,CR$8&lt;=$F54+$G54-1),2,IF(AND($C54="Hito",CR$8&gt;=$F54,CR$8&lt;=$F54+$G54-1),1,""))</f>
        <v/>
      </c>
      <c r="CS54" s="5" t="str">
        <f ca="1">IF(AND($C54="Objetivo",CS$8&gt;=$F54,CS$8&lt;=$F54+$G54-1),2,IF(AND($C54="Hito",CS$8&gt;=$F54,CS$8&lt;=$F54+$G54-1),1,""))</f>
        <v/>
      </c>
      <c r="CT54" s="5" t="str">
        <f ca="1">IF(AND($C54="Objetivo",CT$8&gt;=$F54,CT$8&lt;=$F54+$G54-1),2,IF(AND($C54="Hito",CT$8&gt;=$F54,CT$8&lt;=$F54+$G54-1),1,""))</f>
        <v/>
      </c>
      <c r="CU54" s="5" t="str">
        <f ca="1">IF(AND($C54="Objetivo",CU$8&gt;=$F54,CU$8&lt;=$F54+$G54-1),2,IF(AND($C54="Hito",CU$8&gt;=$F54,CU$8&lt;=$F54+$G54-1),1,""))</f>
        <v/>
      </c>
      <c r="CV54" s="5" t="str">
        <f ca="1">IF(AND($C54="Objetivo",CV$8&gt;=$F54,CV$8&lt;=$F54+$G54-1),2,IF(AND($C54="Hito",CV$8&gt;=$F54,CV$8&lt;=$F54+$G54-1),1,""))</f>
        <v/>
      </c>
      <c r="CW54" s="5" t="str">
        <f ca="1">IF(AND($C54="Objetivo",CW$8&gt;=$F54,CW$8&lt;=$F54+$G54-1),2,IF(AND($C54="Hito",CW$8&gt;=$F54,CW$8&lt;=$F54+$G54-1),1,""))</f>
        <v/>
      </c>
      <c r="CX54" s="5" t="str">
        <f ca="1">IF(AND($C54="Objetivo",CX$8&gt;=$F54,CX$8&lt;=$F54+$G54-1),2,IF(AND($C54="Hito",CX$8&gt;=$F54,CX$8&lt;=$F54+$G54-1),1,""))</f>
        <v/>
      </c>
      <c r="CY54" s="5" t="str">
        <f ca="1">IF(AND($C54="Objetivo",CY$8&gt;=$F54,CY$8&lt;=$F54+$G54-1),2,IF(AND($C54="Hito",CY$8&gt;=$F54,CY$8&lt;=$F54+$G54-1),1,""))</f>
        <v/>
      </c>
      <c r="CZ54" s="5" t="str">
        <f ca="1">IF(AND($C54="Objetivo",CZ$8&gt;=$F54,CZ$8&lt;=$F54+$G54-1),2,IF(AND($C54="Hito",CZ$8&gt;=$F54,CZ$8&lt;=$F54+$G54-1),1,""))</f>
        <v/>
      </c>
      <c r="DA54" s="5" t="str">
        <f ca="1">IF(AND($C54="Objetivo",DA$8&gt;=$F54,DA$8&lt;=$F54+$G54-1),2,IF(AND($C54="Hito",DA$8&gt;=$F54,DA$8&lt;=$F54+$G54-1),1,""))</f>
        <v/>
      </c>
      <c r="DB54" s="5" t="str">
        <f ca="1">IF(AND($C54="Objetivo",DB$8&gt;=$F54,DB$8&lt;=$F54+$G54-1),2,IF(AND($C54="Hito",DB$8&gt;=$F54,DB$8&lt;=$F54+$G54-1),1,""))</f>
        <v/>
      </c>
    </row>
    <row r="55" spans="1:106" s="1" customFormat="1" ht="40.15" customHeight="1" x14ac:dyDescent="0.25">
      <c r="A55" s="3"/>
      <c r="B55" s="41"/>
      <c r="C55" s="34"/>
      <c r="D55" s="34"/>
      <c r="E55" s="50"/>
      <c r="F55" s="40"/>
      <c r="G55" s="57"/>
      <c r="H55" s="29"/>
      <c r="I55" s="29"/>
      <c r="J55" s="7"/>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t="str">
        <f ca="1">IF(AND($C55="Objetivo",BO$8&gt;=$F55,BO$8&lt;=$F55+$G55-1),2,IF(AND($C55="Hito",BO$8&gt;=$F55,BO$8&lt;=$F55+$G55-1),1,""))</f>
        <v/>
      </c>
      <c r="BP55" s="5" t="str">
        <f ca="1">IF(AND($C55="Objetivo",BP$8&gt;=$F55,BP$8&lt;=$F55+$G55-1),2,IF(AND($C55="Hito",BP$8&gt;=$F55,BP$8&lt;=$F55+$G55-1),1,""))</f>
        <v/>
      </c>
      <c r="BQ55" s="5" t="str">
        <f ca="1">IF(AND($C55="Objetivo",BQ$8&gt;=$F55,BQ$8&lt;=$F55+$G55-1),2,IF(AND($C55="Hito",BQ$8&gt;=$F55,BQ$8&lt;=$F55+$G55-1),1,""))</f>
        <v/>
      </c>
      <c r="BR55" s="5" t="str">
        <f ca="1">IF(AND($C55="Objetivo",BR$8&gt;=$F55,BR$8&lt;=$F55+$G55-1),2,IF(AND($C55="Hito",BR$8&gt;=$F55,BR$8&lt;=$F55+$G55-1),1,""))</f>
        <v/>
      </c>
      <c r="BS55" s="5" t="str">
        <f ca="1">IF(AND($C55="Objetivo",BS$8&gt;=$F55,BS$8&lt;=$F55+$G55-1),2,IF(AND($C55="Hito",BS$8&gt;=$F55,BS$8&lt;=$F55+$G55-1),1,""))</f>
        <v/>
      </c>
      <c r="BT55" s="5" t="str">
        <f ca="1">IF(AND($C55="Objetivo",BT$8&gt;=$F55,BT$8&lt;=$F55+$G55-1),2,IF(AND($C55="Hito",BT$8&gt;=$F55,BT$8&lt;=$F55+$G55-1),1,""))</f>
        <v/>
      </c>
      <c r="BU55" s="5" t="str">
        <f ca="1">IF(AND($C55="Objetivo",BU$8&gt;=$F55,BU$8&lt;=$F55+$G55-1),2,IF(AND($C55="Hito",BU$8&gt;=$F55,BU$8&lt;=$F55+$G55-1),1,""))</f>
        <v/>
      </c>
      <c r="BV55" s="5" t="str">
        <f ca="1">IF(AND($C55="Objetivo",BV$8&gt;=$F55,BV$8&lt;=$F55+$G55-1),2,IF(AND($C55="Hito",BV$8&gt;=$F55,BV$8&lt;=$F55+$G55-1),1,""))</f>
        <v/>
      </c>
      <c r="BW55" s="5" t="str">
        <f ca="1">IF(AND($C55="Objetivo",BW$8&gt;=$F55,BW$8&lt;=$F55+$G55-1),2,IF(AND($C55="Hito",BW$8&gt;=$F55,BW$8&lt;=$F55+$G55-1),1,""))</f>
        <v/>
      </c>
      <c r="BX55" s="5" t="str">
        <f ca="1">IF(AND($C55="Objetivo",BX$8&gt;=$F55,BX$8&lt;=$F55+$G55-1),2,IF(AND($C55="Hito",BX$8&gt;=$F55,BX$8&lt;=$F55+$G55-1),1,""))</f>
        <v/>
      </c>
      <c r="BY55" s="5" t="str">
        <f ca="1">IF(AND($C55="Objetivo",BY$8&gt;=$F55,BY$8&lt;=$F55+$G55-1),2,IF(AND($C55="Hito",BY$8&gt;=$F55,BY$8&lt;=$F55+$G55-1),1,""))</f>
        <v/>
      </c>
      <c r="BZ55" s="5" t="str">
        <f ca="1">IF(AND($C55="Objetivo",BZ$8&gt;=$F55,BZ$8&lt;=$F55+$G55-1),2,IF(AND($C55="Hito",BZ$8&gt;=$F55,BZ$8&lt;=$F55+$G55-1),1,""))</f>
        <v/>
      </c>
      <c r="CA55" s="5" t="str">
        <f ca="1">IF(AND($C55="Objetivo",CA$8&gt;=$F55,CA$8&lt;=$F55+$G55-1),2,IF(AND($C55="Hito",CA$8&gt;=$F55,CA$8&lt;=$F55+$G55-1),1,""))</f>
        <v/>
      </c>
      <c r="CB55" s="5" t="str">
        <f ca="1">IF(AND($C55="Objetivo",CB$8&gt;=$F55,CB$8&lt;=$F55+$G55-1),2,IF(AND($C55="Hito",CB$8&gt;=$F55,CB$8&lt;=$F55+$G55-1),1,""))</f>
        <v/>
      </c>
      <c r="CC55" s="5" t="str">
        <f ca="1">IF(AND($C55="Objetivo",CC$8&gt;=$F55,CC$8&lt;=$F55+$G55-1),2,IF(AND($C55="Hito",CC$8&gt;=$F55,CC$8&lt;=$F55+$G55-1),1,""))</f>
        <v/>
      </c>
      <c r="CD55" s="5" t="str">
        <f ca="1">IF(AND($C55="Objetivo",CD$8&gt;=$F55,CD$8&lt;=$F55+$G55-1),2,IF(AND($C55="Hito",CD$8&gt;=$F55,CD$8&lt;=$F55+$G55-1),1,""))</f>
        <v/>
      </c>
      <c r="CE55" s="5" t="str">
        <f ca="1">IF(AND($C55="Objetivo",CE$8&gt;=$F55,CE$8&lt;=$F55+$G55-1),2,IF(AND($C55="Hito",CE$8&gt;=$F55,CE$8&lt;=$F55+$G55-1),1,""))</f>
        <v/>
      </c>
      <c r="CF55" s="5" t="str">
        <f ca="1">IF(AND($C55="Objetivo",CF$8&gt;=$F55,CF$8&lt;=$F55+$G55-1),2,IF(AND($C55="Hito",CF$8&gt;=$F55,CF$8&lt;=$F55+$G55-1),1,""))</f>
        <v/>
      </c>
      <c r="CG55" s="5" t="str">
        <f ca="1">IF(AND($C55="Objetivo",CG$8&gt;=$F55,CG$8&lt;=$F55+$G55-1),2,IF(AND($C55="Hito",CG$8&gt;=$F55,CG$8&lt;=$F55+$G55-1),1,""))</f>
        <v/>
      </c>
      <c r="CH55" s="5" t="str">
        <f ca="1">IF(AND($C55="Objetivo",CH$8&gt;=$F55,CH$8&lt;=$F55+$G55-1),2,IF(AND($C55="Hito",CH$8&gt;=$F55,CH$8&lt;=$F55+$G55-1),1,""))</f>
        <v/>
      </c>
      <c r="CI55" s="5" t="str">
        <f ca="1">IF(AND($C55="Objetivo",CI$8&gt;=$F55,CI$8&lt;=$F55+$G55-1),2,IF(AND($C55="Hito",CI$8&gt;=$F55,CI$8&lt;=$F55+$G55-1),1,""))</f>
        <v/>
      </c>
      <c r="CJ55" s="5" t="str">
        <f ca="1">IF(AND($C55="Objetivo",CJ$8&gt;=$F55,CJ$8&lt;=$F55+$G55-1),2,IF(AND($C55="Hito",CJ$8&gt;=$F55,CJ$8&lt;=$F55+$G55-1),1,""))</f>
        <v/>
      </c>
      <c r="CK55" s="5" t="str">
        <f ca="1">IF(AND($C55="Objetivo",CK$8&gt;=$F55,CK$8&lt;=$F55+$G55-1),2,IF(AND($C55="Hito",CK$8&gt;=$F55,CK$8&lt;=$F55+$G55-1),1,""))</f>
        <v/>
      </c>
      <c r="CL55" s="5" t="str">
        <f ca="1">IF(AND($C55="Objetivo",CL$8&gt;=$F55,CL$8&lt;=$F55+$G55-1),2,IF(AND($C55="Hito",CL$8&gt;=$F55,CL$8&lt;=$F55+$G55-1),1,""))</f>
        <v/>
      </c>
      <c r="CM55" s="5" t="str">
        <f ca="1">IF(AND($C55="Objetivo",CM$8&gt;=$F55,CM$8&lt;=$F55+$G55-1),2,IF(AND($C55="Hito",CM$8&gt;=$F55,CM$8&lt;=$F55+$G55-1),1,""))</f>
        <v/>
      </c>
      <c r="CN55" s="5" t="str">
        <f ca="1">IF(AND($C55="Objetivo",CN$8&gt;=$F55,CN$8&lt;=$F55+$G55-1),2,IF(AND($C55="Hito",CN$8&gt;=$F55,CN$8&lt;=$F55+$G55-1),1,""))</f>
        <v/>
      </c>
      <c r="CO55" s="5" t="str">
        <f ca="1">IF(AND($C55="Objetivo",CO$8&gt;=$F55,CO$8&lt;=$F55+$G55-1),2,IF(AND($C55="Hito",CO$8&gt;=$F55,CO$8&lt;=$F55+$G55-1),1,""))</f>
        <v/>
      </c>
      <c r="CP55" s="5" t="str">
        <f ca="1">IF(AND($C55="Objetivo",CP$8&gt;=$F55,CP$8&lt;=$F55+$G55-1),2,IF(AND($C55="Hito",CP$8&gt;=$F55,CP$8&lt;=$F55+$G55-1),1,""))</f>
        <v/>
      </c>
      <c r="CQ55" s="5" t="str">
        <f ca="1">IF(AND($C55="Objetivo",CQ$8&gt;=$F55,CQ$8&lt;=$F55+$G55-1),2,IF(AND($C55="Hito",CQ$8&gt;=$F55,CQ$8&lt;=$F55+$G55-1),1,""))</f>
        <v/>
      </c>
      <c r="CR55" s="5" t="str">
        <f ca="1">IF(AND($C55="Objetivo",CR$8&gt;=$F55,CR$8&lt;=$F55+$G55-1),2,IF(AND($C55="Hito",CR$8&gt;=$F55,CR$8&lt;=$F55+$G55-1),1,""))</f>
        <v/>
      </c>
      <c r="CS55" s="5" t="str">
        <f ca="1">IF(AND($C55="Objetivo",CS$8&gt;=$F55,CS$8&lt;=$F55+$G55-1),2,IF(AND($C55="Hito",CS$8&gt;=$F55,CS$8&lt;=$F55+$G55-1),1,""))</f>
        <v/>
      </c>
      <c r="CT55" s="5" t="str">
        <f ca="1">IF(AND($C55="Objetivo",CT$8&gt;=$F55,CT$8&lt;=$F55+$G55-1),2,IF(AND($C55="Hito",CT$8&gt;=$F55,CT$8&lt;=$F55+$G55-1),1,""))</f>
        <v/>
      </c>
      <c r="CU55" s="5" t="str">
        <f ca="1">IF(AND($C55="Objetivo",CU$8&gt;=$F55,CU$8&lt;=$F55+$G55-1),2,IF(AND($C55="Hito",CU$8&gt;=$F55,CU$8&lt;=$F55+$G55-1),1,""))</f>
        <v/>
      </c>
      <c r="CV55" s="5" t="str">
        <f ca="1">IF(AND($C55="Objetivo",CV$8&gt;=$F55,CV$8&lt;=$F55+$G55-1),2,IF(AND($C55="Hito",CV$8&gt;=$F55,CV$8&lt;=$F55+$G55-1),1,""))</f>
        <v/>
      </c>
      <c r="CW55" s="5" t="str">
        <f ca="1">IF(AND($C55="Objetivo",CW$8&gt;=$F55,CW$8&lt;=$F55+$G55-1),2,IF(AND($C55="Hito",CW$8&gt;=$F55,CW$8&lt;=$F55+$G55-1),1,""))</f>
        <v/>
      </c>
      <c r="CX55" s="5" t="str">
        <f ca="1">IF(AND($C55="Objetivo",CX$8&gt;=$F55,CX$8&lt;=$F55+$G55-1),2,IF(AND($C55="Hito",CX$8&gt;=$F55,CX$8&lt;=$F55+$G55-1),1,""))</f>
        <v/>
      </c>
      <c r="CY55" s="5" t="str">
        <f ca="1">IF(AND($C55="Objetivo",CY$8&gt;=$F55,CY$8&lt;=$F55+$G55-1),2,IF(AND($C55="Hito",CY$8&gt;=$F55,CY$8&lt;=$F55+$G55-1),1,""))</f>
        <v/>
      </c>
      <c r="CZ55" s="5" t="str">
        <f ca="1">IF(AND($C55="Objetivo",CZ$8&gt;=$F55,CZ$8&lt;=$F55+$G55-1),2,IF(AND($C55="Hito",CZ$8&gt;=$F55,CZ$8&lt;=$F55+$G55-1),1,""))</f>
        <v/>
      </c>
      <c r="DA55" s="5" t="str">
        <f ca="1">IF(AND($C55="Objetivo",DA$8&gt;=$F55,DA$8&lt;=$F55+$G55-1),2,IF(AND($C55="Hito",DA$8&gt;=$F55,DA$8&lt;=$F55+$G55-1),1,""))</f>
        <v/>
      </c>
      <c r="DB55" s="5" t="str">
        <f ca="1">IF(AND($C55="Objetivo",DB$8&gt;=$F55,DB$8&lt;=$F55+$G55-1),2,IF(AND($C55="Hito",DB$8&gt;=$F55,DB$8&lt;=$F55+$G55-1),1,""))</f>
        <v/>
      </c>
    </row>
    <row r="56" spans="1:106" s="1" customFormat="1" ht="40.15" customHeight="1" x14ac:dyDescent="0.25">
      <c r="A56" s="3"/>
      <c r="B56" s="41"/>
      <c r="C56" s="34"/>
      <c r="D56" s="34"/>
      <c r="E56" s="50"/>
      <c r="F56" s="40"/>
      <c r="G56" s="57"/>
      <c r="H56" s="29"/>
      <c r="I56" s="29"/>
      <c r="J56" s="7"/>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t="str">
        <f ca="1">IF(AND($C56="Objetivo",BO$8&gt;=$F56,BO$8&lt;=$F56+$G56-1),2,IF(AND($C56="Hito",BO$8&gt;=$F56,BO$8&lt;=$F56+$G56-1),1,""))</f>
        <v/>
      </c>
      <c r="BP56" s="5" t="str">
        <f ca="1">IF(AND($C56="Objetivo",BP$8&gt;=$F56,BP$8&lt;=$F56+$G56-1),2,IF(AND($C56="Hito",BP$8&gt;=$F56,BP$8&lt;=$F56+$G56-1),1,""))</f>
        <v/>
      </c>
      <c r="BQ56" s="5" t="str">
        <f ca="1">IF(AND($C56="Objetivo",BQ$8&gt;=$F56,BQ$8&lt;=$F56+$G56-1),2,IF(AND($C56="Hito",BQ$8&gt;=$F56,BQ$8&lt;=$F56+$G56-1),1,""))</f>
        <v/>
      </c>
      <c r="BR56" s="5" t="str">
        <f ca="1">IF(AND($C56="Objetivo",BR$8&gt;=$F56,BR$8&lt;=$F56+$G56-1),2,IF(AND($C56="Hito",BR$8&gt;=$F56,BR$8&lt;=$F56+$G56-1),1,""))</f>
        <v/>
      </c>
      <c r="BS56" s="5" t="str">
        <f ca="1">IF(AND($C56="Objetivo",BS$8&gt;=$F56,BS$8&lt;=$F56+$G56-1),2,IF(AND($C56="Hito",BS$8&gt;=$F56,BS$8&lt;=$F56+$G56-1),1,""))</f>
        <v/>
      </c>
      <c r="BT56" s="5" t="str">
        <f ca="1">IF(AND($C56="Objetivo",BT$8&gt;=$F56,BT$8&lt;=$F56+$G56-1),2,IF(AND($C56="Hito",BT$8&gt;=$F56,BT$8&lt;=$F56+$G56-1),1,""))</f>
        <v/>
      </c>
      <c r="BU56" s="5" t="str">
        <f ca="1">IF(AND($C56="Objetivo",BU$8&gt;=$F56,BU$8&lt;=$F56+$G56-1),2,IF(AND($C56="Hito",BU$8&gt;=$F56,BU$8&lt;=$F56+$G56-1),1,""))</f>
        <v/>
      </c>
      <c r="BV56" s="5" t="str">
        <f ca="1">IF(AND($C56="Objetivo",BV$8&gt;=$F56,BV$8&lt;=$F56+$G56-1),2,IF(AND($C56="Hito",BV$8&gt;=$F56,BV$8&lt;=$F56+$G56-1),1,""))</f>
        <v/>
      </c>
      <c r="BW56" s="5" t="str">
        <f ca="1">IF(AND($C56="Objetivo",BW$8&gt;=$F56,BW$8&lt;=$F56+$G56-1),2,IF(AND($C56="Hito",BW$8&gt;=$F56,BW$8&lt;=$F56+$G56-1),1,""))</f>
        <v/>
      </c>
      <c r="BX56" s="5" t="str">
        <f ca="1">IF(AND($C56="Objetivo",BX$8&gt;=$F56,BX$8&lt;=$F56+$G56-1),2,IF(AND($C56="Hito",BX$8&gt;=$F56,BX$8&lt;=$F56+$G56-1),1,""))</f>
        <v/>
      </c>
      <c r="BY56" s="5" t="str">
        <f ca="1">IF(AND($C56="Objetivo",BY$8&gt;=$F56,BY$8&lt;=$F56+$G56-1),2,IF(AND($C56="Hito",BY$8&gt;=$F56,BY$8&lt;=$F56+$G56-1),1,""))</f>
        <v/>
      </c>
      <c r="BZ56" s="5" t="str">
        <f ca="1">IF(AND($C56="Objetivo",BZ$8&gt;=$F56,BZ$8&lt;=$F56+$G56-1),2,IF(AND($C56="Hito",BZ$8&gt;=$F56,BZ$8&lt;=$F56+$G56-1),1,""))</f>
        <v/>
      </c>
      <c r="CA56" s="5" t="str">
        <f ca="1">IF(AND($C56="Objetivo",CA$8&gt;=$F56,CA$8&lt;=$F56+$G56-1),2,IF(AND($C56="Hito",CA$8&gt;=$F56,CA$8&lt;=$F56+$G56-1),1,""))</f>
        <v/>
      </c>
      <c r="CB56" s="5" t="str">
        <f ca="1">IF(AND($C56="Objetivo",CB$8&gt;=$F56,CB$8&lt;=$F56+$G56-1),2,IF(AND($C56="Hito",CB$8&gt;=$F56,CB$8&lt;=$F56+$G56-1),1,""))</f>
        <v/>
      </c>
      <c r="CC56" s="5" t="str">
        <f ca="1">IF(AND($C56="Objetivo",CC$8&gt;=$F56,CC$8&lt;=$F56+$G56-1),2,IF(AND($C56="Hito",CC$8&gt;=$F56,CC$8&lt;=$F56+$G56-1),1,""))</f>
        <v/>
      </c>
      <c r="CD56" s="5" t="str">
        <f ca="1">IF(AND($C56="Objetivo",CD$8&gt;=$F56,CD$8&lt;=$F56+$G56-1),2,IF(AND($C56="Hito",CD$8&gt;=$F56,CD$8&lt;=$F56+$G56-1),1,""))</f>
        <v/>
      </c>
      <c r="CE56" s="5" t="str">
        <f ca="1">IF(AND($C56="Objetivo",CE$8&gt;=$F56,CE$8&lt;=$F56+$G56-1),2,IF(AND($C56="Hito",CE$8&gt;=$F56,CE$8&lt;=$F56+$G56-1),1,""))</f>
        <v/>
      </c>
      <c r="CF56" s="5" t="str">
        <f ca="1">IF(AND($C56="Objetivo",CF$8&gt;=$F56,CF$8&lt;=$F56+$G56-1),2,IF(AND($C56="Hito",CF$8&gt;=$F56,CF$8&lt;=$F56+$G56-1),1,""))</f>
        <v/>
      </c>
      <c r="CG56" s="5" t="str">
        <f ca="1">IF(AND($C56="Objetivo",CG$8&gt;=$F56,CG$8&lt;=$F56+$G56-1),2,IF(AND($C56="Hito",CG$8&gt;=$F56,CG$8&lt;=$F56+$G56-1),1,""))</f>
        <v/>
      </c>
      <c r="CH56" s="5" t="str">
        <f ca="1">IF(AND($C56="Objetivo",CH$8&gt;=$F56,CH$8&lt;=$F56+$G56-1),2,IF(AND($C56="Hito",CH$8&gt;=$F56,CH$8&lt;=$F56+$G56-1),1,""))</f>
        <v/>
      </c>
      <c r="CI56" s="5" t="str">
        <f ca="1">IF(AND($C56="Objetivo",CI$8&gt;=$F56,CI$8&lt;=$F56+$G56-1),2,IF(AND($C56="Hito",CI$8&gt;=$F56,CI$8&lt;=$F56+$G56-1),1,""))</f>
        <v/>
      </c>
      <c r="CJ56" s="5" t="str">
        <f ca="1">IF(AND($C56="Objetivo",CJ$8&gt;=$F56,CJ$8&lt;=$F56+$G56-1),2,IF(AND($C56="Hito",CJ$8&gt;=$F56,CJ$8&lt;=$F56+$G56-1),1,""))</f>
        <v/>
      </c>
      <c r="CK56" s="5" t="str">
        <f ca="1">IF(AND($C56="Objetivo",CK$8&gt;=$F56,CK$8&lt;=$F56+$G56-1),2,IF(AND($C56="Hito",CK$8&gt;=$F56,CK$8&lt;=$F56+$G56-1),1,""))</f>
        <v/>
      </c>
      <c r="CL56" s="5" t="str">
        <f ca="1">IF(AND($C56="Objetivo",CL$8&gt;=$F56,CL$8&lt;=$F56+$G56-1),2,IF(AND($C56="Hito",CL$8&gt;=$F56,CL$8&lt;=$F56+$G56-1),1,""))</f>
        <v/>
      </c>
      <c r="CM56" s="5" t="str">
        <f ca="1">IF(AND($C56="Objetivo",CM$8&gt;=$F56,CM$8&lt;=$F56+$G56-1),2,IF(AND($C56="Hito",CM$8&gt;=$F56,CM$8&lt;=$F56+$G56-1),1,""))</f>
        <v/>
      </c>
      <c r="CN56" s="5" t="str">
        <f ca="1">IF(AND($C56="Objetivo",CN$8&gt;=$F56,CN$8&lt;=$F56+$G56-1),2,IF(AND($C56="Hito",CN$8&gt;=$F56,CN$8&lt;=$F56+$G56-1),1,""))</f>
        <v/>
      </c>
      <c r="CO56" s="5" t="str">
        <f ca="1">IF(AND($C56="Objetivo",CO$8&gt;=$F56,CO$8&lt;=$F56+$G56-1),2,IF(AND($C56="Hito",CO$8&gt;=$F56,CO$8&lt;=$F56+$G56-1),1,""))</f>
        <v/>
      </c>
      <c r="CP56" s="5" t="str">
        <f ca="1">IF(AND($C56="Objetivo",CP$8&gt;=$F56,CP$8&lt;=$F56+$G56-1),2,IF(AND($C56="Hito",CP$8&gt;=$F56,CP$8&lt;=$F56+$G56-1),1,""))</f>
        <v/>
      </c>
      <c r="CQ56" s="5" t="str">
        <f ca="1">IF(AND($C56="Objetivo",CQ$8&gt;=$F56,CQ$8&lt;=$F56+$G56-1),2,IF(AND($C56="Hito",CQ$8&gt;=$F56,CQ$8&lt;=$F56+$G56-1),1,""))</f>
        <v/>
      </c>
      <c r="CR56" s="5" t="str">
        <f ca="1">IF(AND($C56="Objetivo",CR$8&gt;=$F56,CR$8&lt;=$F56+$G56-1),2,IF(AND($C56="Hito",CR$8&gt;=$F56,CR$8&lt;=$F56+$G56-1),1,""))</f>
        <v/>
      </c>
      <c r="CS56" s="5" t="str">
        <f ca="1">IF(AND($C56="Objetivo",CS$8&gt;=$F56,CS$8&lt;=$F56+$G56-1),2,IF(AND($C56="Hito",CS$8&gt;=$F56,CS$8&lt;=$F56+$G56-1),1,""))</f>
        <v/>
      </c>
      <c r="CT56" s="5" t="str">
        <f ca="1">IF(AND($C56="Objetivo",CT$8&gt;=$F56,CT$8&lt;=$F56+$G56-1),2,IF(AND($C56="Hito",CT$8&gt;=$F56,CT$8&lt;=$F56+$G56-1),1,""))</f>
        <v/>
      </c>
      <c r="CU56" s="5" t="str">
        <f ca="1">IF(AND($C56="Objetivo",CU$8&gt;=$F56,CU$8&lt;=$F56+$G56-1),2,IF(AND($C56="Hito",CU$8&gt;=$F56,CU$8&lt;=$F56+$G56-1),1,""))</f>
        <v/>
      </c>
      <c r="CV56" s="5" t="str">
        <f ca="1">IF(AND($C56="Objetivo",CV$8&gt;=$F56,CV$8&lt;=$F56+$G56-1),2,IF(AND($C56="Hito",CV$8&gt;=$F56,CV$8&lt;=$F56+$G56-1),1,""))</f>
        <v/>
      </c>
      <c r="CW56" s="5" t="str">
        <f ca="1">IF(AND($C56="Objetivo",CW$8&gt;=$F56,CW$8&lt;=$F56+$G56-1),2,IF(AND($C56="Hito",CW$8&gt;=$F56,CW$8&lt;=$F56+$G56-1),1,""))</f>
        <v/>
      </c>
      <c r="CX56" s="5" t="str">
        <f ca="1">IF(AND($C56="Objetivo",CX$8&gt;=$F56,CX$8&lt;=$F56+$G56-1),2,IF(AND($C56="Hito",CX$8&gt;=$F56,CX$8&lt;=$F56+$G56-1),1,""))</f>
        <v/>
      </c>
      <c r="CY56" s="5" t="str">
        <f ca="1">IF(AND($C56="Objetivo",CY$8&gt;=$F56,CY$8&lt;=$F56+$G56-1),2,IF(AND($C56="Hito",CY$8&gt;=$F56,CY$8&lt;=$F56+$G56-1),1,""))</f>
        <v/>
      </c>
      <c r="CZ56" s="5" t="str">
        <f ca="1">IF(AND($C56="Objetivo",CZ$8&gt;=$F56,CZ$8&lt;=$F56+$G56-1),2,IF(AND($C56="Hito",CZ$8&gt;=$F56,CZ$8&lt;=$F56+$G56-1),1,""))</f>
        <v/>
      </c>
      <c r="DA56" s="5" t="str">
        <f ca="1">IF(AND($C56="Objetivo",DA$8&gt;=$F56,DA$8&lt;=$F56+$G56-1),2,IF(AND($C56="Hito",DA$8&gt;=$F56,DA$8&lt;=$F56+$G56-1),1,""))</f>
        <v/>
      </c>
      <c r="DB56" s="5" t="str">
        <f ca="1">IF(AND($C56="Objetivo",DB$8&gt;=$F56,DB$8&lt;=$F56+$G56-1),2,IF(AND($C56="Hito",DB$8&gt;=$F56,DB$8&lt;=$F56+$G56-1),1,""))</f>
        <v/>
      </c>
    </row>
    <row r="57" spans="1:106" s="1" customFormat="1" ht="40.15" customHeight="1" x14ac:dyDescent="0.25">
      <c r="A57" s="3"/>
      <c r="B57" s="34"/>
      <c r="C57" s="34"/>
      <c r="D57" s="34"/>
      <c r="E57" s="50"/>
      <c r="F57" s="40"/>
      <c r="G57" s="57"/>
      <c r="H57" s="29"/>
      <c r="I57" s="29"/>
      <c r="J57" s="7"/>
      <c r="K57" s="5" t="str">
        <f ca="1">IF(AND($C57="Objetivo",K$8&gt;=$F57,K$8&lt;=$F57+$G57-1),2,IF(AND($C57="Hito",K$8&gt;=$F57,K$8&lt;=$F57+$G57-1),1,""))</f>
        <v/>
      </c>
      <c r="L57" s="5" t="str">
        <f ca="1">IF(AND($C57="Objetivo",L$8&gt;=$F57,L$8&lt;=$F57+$G57-1),2,IF(AND($C57="Hito",L$8&gt;=$F57,L$8&lt;=$F57+$G57-1),1,""))</f>
        <v/>
      </c>
      <c r="M57" s="5" t="str">
        <f ca="1">IF(AND($C57="Objetivo",M$8&gt;=$F57,M$8&lt;=$F57+$G57-1),2,IF(AND($C57="Hito",M$8&gt;=$F57,M$8&lt;=$F57+$G57-1),1,""))</f>
        <v/>
      </c>
      <c r="N57" s="5" t="str">
        <f ca="1">IF(AND($C57="Objetivo",N$8&gt;=$F57,N$8&lt;=$F57+$G57-1),2,IF(AND($C57="Hito",N$8&gt;=$F57,N$8&lt;=$F57+$G57-1),1,""))</f>
        <v/>
      </c>
      <c r="O57" s="5" t="str">
        <f ca="1">IF(AND($C57="Objetivo",O$8&gt;=$F57,O$8&lt;=$F57+$G57-1),2,IF(AND($C57="Hito",O$8&gt;=$F57,O$8&lt;=$F57+$G57-1),1,""))</f>
        <v/>
      </c>
      <c r="P57" s="5" t="str">
        <f ca="1">IF(AND($C57="Objetivo",P$8&gt;=$F57,P$8&lt;=$F57+$G57-1),2,IF(AND($C57="Hito",P$8&gt;=$F57,P$8&lt;=$F57+$G57-1),1,""))</f>
        <v/>
      </c>
      <c r="Q57" s="5" t="str">
        <f ca="1">IF(AND($C57="Objetivo",Q$8&gt;=$F57,Q$8&lt;=$F57+$G57-1),2,IF(AND($C57="Hito",Q$8&gt;=$F57,Q$8&lt;=$F57+$G57-1),1,""))</f>
        <v/>
      </c>
      <c r="R57" s="5" t="str">
        <f ca="1">IF(AND($C57="Objetivo",R$8&gt;=$F57,R$8&lt;=$F57+$G57-1),2,IF(AND($C57="Hito",R$8&gt;=$F57,R$8&lt;=$F57+$G57-1),1,""))</f>
        <v/>
      </c>
      <c r="S57" s="5" t="str">
        <f ca="1">IF(AND($C57="Objetivo",S$8&gt;=$F57,S$8&lt;=$F57+$G57-1),2,IF(AND($C57="Hito",S$8&gt;=$F57,S$8&lt;=$F57+$G57-1),1,""))</f>
        <v/>
      </c>
      <c r="T57" s="5" t="str">
        <f ca="1">IF(AND($C57="Objetivo",T$8&gt;=$F57,T$8&lt;=$F57+$G57-1),2,IF(AND($C57="Hito",T$8&gt;=$F57,T$8&lt;=$F57+$G57-1),1,""))</f>
        <v/>
      </c>
      <c r="U57" s="5" t="str">
        <f ca="1">IF(AND($C57="Objetivo",U$8&gt;=$F57,U$8&lt;=$F57+$G57-1),2,IF(AND($C57="Hito",U$8&gt;=$F57,U$8&lt;=$F57+$G57-1),1,""))</f>
        <v/>
      </c>
      <c r="V57" s="5" t="str">
        <f ca="1">IF(AND($C57="Objetivo",V$8&gt;=$F57,V$8&lt;=$F57+$G57-1),2,IF(AND($C57="Hito",V$8&gt;=$F57,V$8&lt;=$F57+$G57-1),1,""))</f>
        <v/>
      </c>
      <c r="W57" s="5" t="str">
        <f ca="1">IF(AND($C57="Objetivo",W$8&gt;=$F57,W$8&lt;=$F57+$G57-1),2,IF(AND($C57="Hito",W$8&gt;=$F57,W$8&lt;=$F57+$G57-1),1,""))</f>
        <v/>
      </c>
      <c r="X57" s="5" t="str">
        <f ca="1">IF(AND($C57="Objetivo",X$8&gt;=$F57,X$8&lt;=$F57+$G57-1),2,IF(AND($C57="Hito",X$8&gt;=$F57,X$8&lt;=$F57+$G57-1),1,""))</f>
        <v/>
      </c>
      <c r="Y57" s="5" t="str">
        <f ca="1">IF(AND($C57="Objetivo",Y$8&gt;=$F57,Y$8&lt;=$F57+$G57-1),2,IF(AND($C57="Hito",Y$8&gt;=$F57,Y$8&lt;=$F57+$G57-1),1,""))</f>
        <v/>
      </c>
      <c r="Z57" s="5" t="str">
        <f ca="1">IF(AND($C57="Objetivo",Z$8&gt;=$F57,Z$8&lt;=$F57+$G57-1),2,IF(AND($C57="Hito",Z$8&gt;=$F57,Z$8&lt;=$F57+$G57-1),1,""))</f>
        <v/>
      </c>
      <c r="AA57" s="5" t="str">
        <f ca="1">IF(AND($C57="Objetivo",AA$8&gt;=$F57,AA$8&lt;=$F57+$G57-1),2,IF(AND($C57="Hito",AA$8&gt;=$F57,AA$8&lt;=$F57+$G57-1),1,""))</f>
        <v/>
      </c>
      <c r="AB57" s="5" t="str">
        <f ca="1">IF(AND($C57="Objetivo",AB$8&gt;=$F57,AB$8&lt;=$F57+$G57-1),2,IF(AND($C57="Hito",AB$8&gt;=$F57,AB$8&lt;=$F57+$G57-1),1,""))</f>
        <v/>
      </c>
      <c r="AC57" s="5" t="str">
        <f ca="1">IF(AND($C57="Objetivo",AC$8&gt;=$F57,AC$8&lt;=$F57+$G57-1),2,IF(AND($C57="Hito",AC$8&gt;=$F57,AC$8&lt;=$F57+$G57-1),1,""))</f>
        <v/>
      </c>
      <c r="AD57" s="5" t="str">
        <f ca="1">IF(AND($C57="Objetivo",AD$8&gt;=$F57,AD$8&lt;=$F57+$G57-1),2,IF(AND($C57="Hito",AD$8&gt;=$F57,AD$8&lt;=$F57+$G57-1),1,""))</f>
        <v/>
      </c>
      <c r="AE57" s="5" t="str">
        <f ca="1">IF(AND($C57="Objetivo",AE$8&gt;=$F57,AE$8&lt;=$F57+$G57-1),2,IF(AND($C57="Hito",AE$8&gt;=$F57,AE$8&lt;=$F57+$G57-1),1,""))</f>
        <v/>
      </c>
      <c r="AF57" s="5" t="str">
        <f ca="1">IF(AND($C57="Objetivo",AF$8&gt;=$F57,AF$8&lt;=$F57+$G57-1),2,IF(AND($C57="Hito",AF$8&gt;=$F57,AF$8&lt;=$F57+$G57-1),1,""))</f>
        <v/>
      </c>
      <c r="AG57" s="5" t="str">
        <f ca="1">IF(AND($C57="Objetivo",AG$8&gt;=$F57,AG$8&lt;=$F57+$G57-1),2,IF(AND($C57="Hito",AG$8&gt;=$F57,AG$8&lt;=$F57+$G57-1),1,""))</f>
        <v/>
      </c>
      <c r="AH57" s="5" t="str">
        <f ca="1">IF(AND($C57="Objetivo",AH$8&gt;=$F57,AH$8&lt;=$F57+$G57-1),2,IF(AND($C57="Hito",AH$8&gt;=$F57,AH$8&lt;=$F57+$G57-1),1,""))</f>
        <v/>
      </c>
      <c r="AI57" s="5" t="str">
        <f ca="1">IF(AND($C57="Objetivo",AI$8&gt;=$F57,AI$8&lt;=$F57+$G57-1),2,IF(AND($C57="Hito",AI$8&gt;=$F57,AI$8&lt;=$F57+$G57-1),1,""))</f>
        <v/>
      </c>
      <c r="AJ57" s="5" t="str">
        <f ca="1">IF(AND($C57="Objetivo",AJ$8&gt;=$F57,AJ$8&lt;=$F57+$G57-1),2,IF(AND($C57="Hito",AJ$8&gt;=$F57,AJ$8&lt;=$F57+$G57-1),1,""))</f>
        <v/>
      </c>
      <c r="AK57" s="5" t="str">
        <f ca="1">IF(AND($C57="Objetivo",AK$8&gt;=$F57,AK$8&lt;=$F57+$G57-1),2,IF(AND($C57="Hito",AK$8&gt;=$F57,AK$8&lt;=$F57+$G57-1),1,""))</f>
        <v/>
      </c>
      <c r="AL57" s="5" t="str">
        <f ca="1">IF(AND($C57="Objetivo",AL$8&gt;=$F57,AL$8&lt;=$F57+$G57-1),2,IF(AND($C57="Hito",AL$8&gt;=$F57,AL$8&lt;=$F57+$G57-1),1,""))</f>
        <v/>
      </c>
      <c r="AM57" s="5" t="str">
        <f ca="1">IF(AND($C57="Objetivo",AM$8&gt;=$F57,AM$8&lt;=$F57+$G57-1),2,IF(AND($C57="Hito",AM$8&gt;=$F57,AM$8&lt;=$F57+$G57-1),1,""))</f>
        <v/>
      </c>
      <c r="AN57" s="5" t="str">
        <f ca="1">IF(AND($C57="Objetivo",AN$8&gt;=$F57,AN$8&lt;=$F57+$G57-1),2,IF(AND($C57="Hito",AN$8&gt;=$F57,AN$8&lt;=$F57+$G57-1),1,""))</f>
        <v/>
      </c>
      <c r="AO57" s="5" t="str">
        <f ca="1">IF(AND($C57="Objetivo",AO$8&gt;=$F57,AO$8&lt;=$F57+$G57-1),2,IF(AND($C57="Hito",AO$8&gt;=$F57,AO$8&lt;=$F57+$G57-1),1,""))</f>
        <v/>
      </c>
      <c r="AP57" s="5" t="str">
        <f ca="1">IF(AND($C57="Objetivo",AP$8&gt;=$F57,AP$8&lt;=$F57+$G57-1),2,IF(AND($C57="Hito",AP$8&gt;=$F57,AP$8&lt;=$F57+$G57-1),1,""))</f>
        <v/>
      </c>
      <c r="AQ57" s="5" t="str">
        <f ca="1">IF(AND($C57="Objetivo",AQ$8&gt;=$F57,AQ$8&lt;=$F57+$G57-1),2,IF(AND($C57="Hito",AQ$8&gt;=$F57,AQ$8&lt;=$F57+$G57-1),1,""))</f>
        <v/>
      </c>
      <c r="AR57" s="5" t="str">
        <f ca="1">IF(AND($C57="Objetivo",AR$8&gt;=$F57,AR$8&lt;=$F57+$G57-1),2,IF(AND($C57="Hito",AR$8&gt;=$F57,AR$8&lt;=$F57+$G57-1),1,""))</f>
        <v/>
      </c>
      <c r="AS57" s="5" t="str">
        <f ca="1">IF(AND($C57="Objetivo",AS$8&gt;=$F57,AS$8&lt;=$F57+$G57-1),2,IF(AND($C57="Hito",AS$8&gt;=$F57,AS$8&lt;=$F57+$G57-1),1,""))</f>
        <v/>
      </c>
      <c r="AT57" s="5" t="str">
        <f ca="1">IF(AND($C57="Objetivo",AT$8&gt;=$F57,AT$8&lt;=$F57+$G57-1),2,IF(AND($C57="Hito",AT$8&gt;=$F57,AT$8&lt;=$F57+$G57-1),1,""))</f>
        <v/>
      </c>
      <c r="AU57" s="5" t="str">
        <f ca="1">IF(AND($C57="Objetivo",AU$8&gt;=$F57,AU$8&lt;=$F57+$G57-1),2,IF(AND($C57="Hito",AU$8&gt;=$F57,AU$8&lt;=$F57+$G57-1),1,""))</f>
        <v/>
      </c>
      <c r="AV57" s="5" t="str">
        <f ca="1">IF(AND($C57="Objetivo",AV$8&gt;=$F57,AV$8&lt;=$F57+$G57-1),2,IF(AND($C57="Hito",AV$8&gt;=$F57,AV$8&lt;=$F57+$G57-1),1,""))</f>
        <v/>
      </c>
      <c r="AW57" s="5" t="str">
        <f ca="1">IF(AND($C57="Objetivo",AW$8&gt;=$F57,AW$8&lt;=$F57+$G57-1),2,IF(AND($C57="Hito",AW$8&gt;=$F57,AW$8&lt;=$F57+$G57-1),1,""))</f>
        <v/>
      </c>
      <c r="AX57" s="5" t="str">
        <f ca="1">IF(AND($C57="Objetivo",AX$8&gt;=$F57,AX$8&lt;=$F57+$G57-1),2,IF(AND($C57="Hito",AX$8&gt;=$F57,AX$8&lt;=$F57+$G57-1),1,""))</f>
        <v/>
      </c>
      <c r="AY57" s="5" t="str">
        <f ca="1">IF(AND($C57="Objetivo",AY$8&gt;=$F57,AY$8&lt;=$F57+$G57-1),2,IF(AND($C57="Hito",AY$8&gt;=$F57,AY$8&lt;=$F57+$G57-1),1,""))</f>
        <v/>
      </c>
      <c r="AZ57" s="5" t="str">
        <f ca="1">IF(AND($C57="Objetivo",AZ$8&gt;=$F57,AZ$8&lt;=$F57+$G57-1),2,IF(AND($C57="Hito",AZ$8&gt;=$F57,AZ$8&lt;=$F57+$G57-1),1,""))</f>
        <v/>
      </c>
      <c r="BA57" s="5" t="str">
        <f ca="1">IF(AND($C57="Objetivo",BA$8&gt;=$F57,BA$8&lt;=$F57+$G57-1),2,IF(AND($C57="Hito",BA$8&gt;=$F57,BA$8&lt;=$F57+$G57-1),1,""))</f>
        <v/>
      </c>
      <c r="BB57" s="5" t="str">
        <f ca="1">IF(AND($C57="Objetivo",BB$8&gt;=$F57,BB$8&lt;=$F57+$G57-1),2,IF(AND($C57="Hito",BB$8&gt;=$F57,BB$8&lt;=$F57+$G57-1),1,""))</f>
        <v/>
      </c>
      <c r="BC57" s="5" t="str">
        <f ca="1">IF(AND($C57="Objetivo",BC$8&gt;=$F57,BC$8&lt;=$F57+$G57-1),2,IF(AND($C57="Hito",BC$8&gt;=$F57,BC$8&lt;=$F57+$G57-1),1,""))</f>
        <v/>
      </c>
      <c r="BD57" s="5" t="str">
        <f ca="1">IF(AND($C57="Objetivo",BD$8&gt;=$F57,BD$8&lt;=$F57+$G57-1),2,IF(AND($C57="Hito",BD$8&gt;=$F57,BD$8&lt;=$F57+$G57-1),1,""))</f>
        <v/>
      </c>
      <c r="BE57" s="5" t="str">
        <f ca="1">IF(AND($C57="Objetivo",BE$8&gt;=$F57,BE$8&lt;=$F57+$G57-1),2,IF(AND($C57="Hito",BE$8&gt;=$F57,BE$8&lt;=$F57+$G57-1),1,""))</f>
        <v/>
      </c>
      <c r="BF57" s="5" t="str">
        <f ca="1">IF(AND($C57="Objetivo",BF$8&gt;=$F57,BF$8&lt;=$F57+$G57-1),2,IF(AND($C57="Hito",BF$8&gt;=$F57,BF$8&lt;=$F57+$G57-1),1,""))</f>
        <v/>
      </c>
      <c r="BG57" s="5" t="str">
        <f ca="1">IF(AND($C57="Objetivo",BG$8&gt;=$F57,BG$8&lt;=$F57+$G57-1),2,IF(AND($C57="Hito",BG$8&gt;=$F57,BG$8&lt;=$F57+$G57-1),1,""))</f>
        <v/>
      </c>
      <c r="BH57" s="5" t="str">
        <f ca="1">IF(AND($C57="Objetivo",BH$8&gt;=$F57,BH$8&lt;=$F57+$G57-1),2,IF(AND($C57="Hito",BH$8&gt;=$F57,BH$8&lt;=$F57+$G57-1),1,""))</f>
        <v/>
      </c>
      <c r="BI57" s="5" t="str">
        <f ca="1">IF(AND($C57="Objetivo",BI$8&gt;=$F57,BI$8&lt;=$F57+$G57-1),2,IF(AND($C57="Hito",BI$8&gt;=$F57,BI$8&lt;=$F57+$G57-1),1,""))</f>
        <v/>
      </c>
      <c r="BJ57" s="5" t="str">
        <f ca="1">IF(AND($C57="Objetivo",BJ$8&gt;=$F57,BJ$8&lt;=$F57+$G57-1),2,IF(AND($C57="Hito",BJ$8&gt;=$F57,BJ$8&lt;=$F57+$G57-1),1,""))</f>
        <v/>
      </c>
      <c r="BK57" s="5" t="str">
        <f ca="1">IF(AND($C57="Objetivo",BK$8&gt;=$F57,BK$8&lt;=$F57+$G57-1),2,IF(AND($C57="Hito",BK$8&gt;=$F57,BK$8&lt;=$F57+$G57-1),1,""))</f>
        <v/>
      </c>
      <c r="BL57" s="5" t="str">
        <f ca="1">IF(AND($C57="Objetivo",BL$8&gt;=$F57,BL$8&lt;=$F57+$G57-1),2,IF(AND($C57="Hito",BL$8&gt;=$F57,BL$8&lt;=$F57+$G57-1),1,""))</f>
        <v/>
      </c>
      <c r="BM57" s="5" t="str">
        <f ca="1">IF(AND($C57="Objetivo",BM$8&gt;=$F57,BM$8&lt;=$F57+$G57-1),2,IF(AND($C57="Hito",BM$8&gt;=$F57,BM$8&lt;=$F57+$G57-1),1,""))</f>
        <v/>
      </c>
      <c r="BN57" s="5" t="str">
        <f ca="1">IF(AND($C57="Objetivo",BN$8&gt;=$F57,BN$8&lt;=$F57+$G57-1),2,IF(AND($C57="Hito",BN$8&gt;=$F57,BN$8&lt;=$F57+$G57-1),1,""))</f>
        <v/>
      </c>
      <c r="BO57" s="5" t="str">
        <f ca="1">IF(AND($C57="Objetivo",BO$8&gt;=$F57,BO$8&lt;=$F57+$G57-1),2,IF(AND($C57="Hito",BO$8&gt;=$F57,BO$8&lt;=$F57+$G57-1),1,""))</f>
        <v/>
      </c>
      <c r="BP57" s="5" t="str">
        <f ca="1">IF(AND($C57="Objetivo",BP$8&gt;=$F57,BP$8&lt;=$F57+$G57-1),2,IF(AND($C57="Hito",BP$8&gt;=$F57,BP$8&lt;=$F57+$G57-1),1,""))</f>
        <v/>
      </c>
      <c r="BQ57" s="5" t="str">
        <f ca="1">IF(AND($C57="Objetivo",BQ$8&gt;=$F57,BQ$8&lt;=$F57+$G57-1),2,IF(AND($C57="Hito",BQ$8&gt;=$F57,BQ$8&lt;=$F57+$G57-1),1,""))</f>
        <v/>
      </c>
      <c r="BR57" s="5" t="str">
        <f ca="1">IF(AND($C57="Objetivo",BR$8&gt;=$F57,BR$8&lt;=$F57+$G57-1),2,IF(AND($C57="Hito",BR$8&gt;=$F57,BR$8&lt;=$F57+$G57-1),1,""))</f>
        <v/>
      </c>
      <c r="BS57" s="5" t="str">
        <f ca="1">IF(AND($C57="Objetivo",BS$8&gt;=$F57,BS$8&lt;=$F57+$G57-1),2,IF(AND($C57="Hito",BS$8&gt;=$F57,BS$8&lt;=$F57+$G57-1),1,""))</f>
        <v/>
      </c>
      <c r="BT57" s="5" t="str">
        <f ca="1">IF(AND($C57="Objetivo",BT$8&gt;=$F57,BT$8&lt;=$F57+$G57-1),2,IF(AND($C57="Hito",BT$8&gt;=$F57,BT$8&lt;=$F57+$G57-1),1,""))</f>
        <v/>
      </c>
      <c r="BU57" s="5" t="str">
        <f ca="1">IF(AND($C57="Objetivo",BU$8&gt;=$F57,BU$8&lt;=$F57+$G57-1),2,IF(AND($C57="Hito",BU$8&gt;=$F57,BU$8&lt;=$F57+$G57-1),1,""))</f>
        <v/>
      </c>
      <c r="BV57" s="5" t="str">
        <f ca="1">IF(AND($C57="Objetivo",BV$8&gt;=$F57,BV$8&lt;=$F57+$G57-1),2,IF(AND($C57="Hito",BV$8&gt;=$F57,BV$8&lt;=$F57+$G57-1),1,""))</f>
        <v/>
      </c>
      <c r="BW57" s="5" t="str">
        <f ca="1">IF(AND($C57="Objetivo",BW$8&gt;=$F57,BW$8&lt;=$F57+$G57-1),2,IF(AND($C57="Hito",BW$8&gt;=$F57,BW$8&lt;=$F57+$G57-1),1,""))</f>
        <v/>
      </c>
      <c r="BX57" s="5" t="str">
        <f ca="1">IF(AND($C57="Objetivo",BX$8&gt;=$F57,BX$8&lt;=$F57+$G57-1),2,IF(AND($C57="Hito",BX$8&gt;=$F57,BX$8&lt;=$F57+$G57-1),1,""))</f>
        <v/>
      </c>
      <c r="BY57" s="5" t="str">
        <f ca="1">IF(AND($C57="Objetivo",BY$8&gt;=$F57,BY$8&lt;=$F57+$G57-1),2,IF(AND($C57="Hito",BY$8&gt;=$F57,BY$8&lt;=$F57+$G57-1),1,""))</f>
        <v/>
      </c>
      <c r="BZ57" s="5" t="str">
        <f ca="1">IF(AND($C57="Objetivo",BZ$8&gt;=$F57,BZ$8&lt;=$F57+$G57-1),2,IF(AND($C57="Hito",BZ$8&gt;=$F57,BZ$8&lt;=$F57+$G57-1),1,""))</f>
        <v/>
      </c>
      <c r="CA57" s="5" t="str">
        <f ca="1">IF(AND($C57="Objetivo",CA$8&gt;=$F57,CA$8&lt;=$F57+$G57-1),2,IF(AND($C57="Hito",CA$8&gt;=$F57,CA$8&lt;=$F57+$G57-1),1,""))</f>
        <v/>
      </c>
      <c r="CB57" s="5" t="str">
        <f ca="1">IF(AND($C57="Objetivo",CB$8&gt;=$F57,CB$8&lt;=$F57+$G57-1),2,IF(AND($C57="Hito",CB$8&gt;=$F57,CB$8&lt;=$F57+$G57-1),1,""))</f>
        <v/>
      </c>
      <c r="CC57" s="5" t="str">
        <f ca="1">IF(AND($C57="Objetivo",CC$8&gt;=$F57,CC$8&lt;=$F57+$G57-1),2,IF(AND($C57="Hito",CC$8&gt;=$F57,CC$8&lt;=$F57+$G57-1),1,""))</f>
        <v/>
      </c>
      <c r="CD57" s="5" t="str">
        <f ca="1">IF(AND($C57="Objetivo",CD$8&gt;=$F57,CD$8&lt;=$F57+$G57-1),2,IF(AND($C57="Hito",CD$8&gt;=$F57,CD$8&lt;=$F57+$G57-1),1,""))</f>
        <v/>
      </c>
      <c r="CE57" s="5" t="str">
        <f ca="1">IF(AND($C57="Objetivo",CE$8&gt;=$F57,CE$8&lt;=$F57+$G57-1),2,IF(AND($C57="Hito",CE$8&gt;=$F57,CE$8&lt;=$F57+$G57-1),1,""))</f>
        <v/>
      </c>
      <c r="CF57" s="5" t="str">
        <f ca="1">IF(AND($C57="Objetivo",CF$8&gt;=$F57,CF$8&lt;=$F57+$G57-1),2,IF(AND($C57="Hito",CF$8&gt;=$F57,CF$8&lt;=$F57+$G57-1),1,""))</f>
        <v/>
      </c>
      <c r="CG57" s="5" t="str">
        <f ca="1">IF(AND($C57="Objetivo",CG$8&gt;=$F57,CG$8&lt;=$F57+$G57-1),2,IF(AND($C57="Hito",CG$8&gt;=$F57,CG$8&lt;=$F57+$G57-1),1,""))</f>
        <v/>
      </c>
      <c r="CH57" s="5" t="str">
        <f ca="1">IF(AND($C57="Objetivo",CH$8&gt;=$F57,CH$8&lt;=$F57+$G57-1),2,IF(AND($C57="Hito",CH$8&gt;=$F57,CH$8&lt;=$F57+$G57-1),1,""))</f>
        <v/>
      </c>
      <c r="CI57" s="5" t="str">
        <f ca="1">IF(AND($C57="Objetivo",CI$8&gt;=$F57,CI$8&lt;=$F57+$G57-1),2,IF(AND($C57="Hito",CI$8&gt;=$F57,CI$8&lt;=$F57+$G57-1),1,""))</f>
        <v/>
      </c>
      <c r="CJ57" s="5" t="str">
        <f ca="1">IF(AND($C57="Objetivo",CJ$8&gt;=$F57,CJ$8&lt;=$F57+$G57-1),2,IF(AND($C57="Hito",CJ$8&gt;=$F57,CJ$8&lt;=$F57+$G57-1),1,""))</f>
        <v/>
      </c>
      <c r="CK57" s="5" t="str">
        <f ca="1">IF(AND($C57="Objetivo",CK$8&gt;=$F57,CK$8&lt;=$F57+$G57-1),2,IF(AND($C57="Hito",CK$8&gt;=$F57,CK$8&lt;=$F57+$G57-1),1,""))</f>
        <v/>
      </c>
      <c r="CL57" s="5" t="str">
        <f ca="1">IF(AND($C57="Objetivo",CL$8&gt;=$F57,CL$8&lt;=$F57+$G57-1),2,IF(AND($C57="Hito",CL$8&gt;=$F57,CL$8&lt;=$F57+$G57-1),1,""))</f>
        <v/>
      </c>
      <c r="CM57" s="5" t="str">
        <f ca="1">IF(AND($C57="Objetivo",CM$8&gt;=$F57,CM$8&lt;=$F57+$G57-1),2,IF(AND($C57="Hito",CM$8&gt;=$F57,CM$8&lt;=$F57+$G57-1),1,""))</f>
        <v/>
      </c>
      <c r="CN57" s="5" t="str">
        <f ca="1">IF(AND($C57="Objetivo",CN$8&gt;=$F57,CN$8&lt;=$F57+$G57-1),2,IF(AND($C57="Hito",CN$8&gt;=$F57,CN$8&lt;=$F57+$G57-1),1,""))</f>
        <v/>
      </c>
      <c r="CO57" s="5" t="str">
        <f ca="1">IF(AND($C57="Objetivo",CO$8&gt;=$F57,CO$8&lt;=$F57+$G57-1),2,IF(AND($C57="Hito",CO$8&gt;=$F57,CO$8&lt;=$F57+$G57-1),1,""))</f>
        <v/>
      </c>
      <c r="CP57" s="5" t="str">
        <f ca="1">IF(AND($C57="Objetivo",CP$8&gt;=$F57,CP$8&lt;=$F57+$G57-1),2,IF(AND($C57="Hito",CP$8&gt;=$F57,CP$8&lt;=$F57+$G57-1),1,""))</f>
        <v/>
      </c>
      <c r="CQ57" s="5" t="str">
        <f ca="1">IF(AND($C57="Objetivo",CQ$8&gt;=$F57,CQ$8&lt;=$F57+$G57-1),2,IF(AND($C57="Hito",CQ$8&gt;=$F57,CQ$8&lt;=$F57+$G57-1),1,""))</f>
        <v/>
      </c>
      <c r="CR57" s="5" t="str">
        <f ca="1">IF(AND($C57="Objetivo",CR$8&gt;=$F57,CR$8&lt;=$F57+$G57-1),2,IF(AND($C57="Hito",CR$8&gt;=$F57,CR$8&lt;=$F57+$G57-1),1,""))</f>
        <v/>
      </c>
      <c r="CS57" s="5" t="str">
        <f ca="1">IF(AND($C57="Objetivo",CS$8&gt;=$F57,CS$8&lt;=$F57+$G57-1),2,IF(AND($C57="Hito",CS$8&gt;=$F57,CS$8&lt;=$F57+$G57-1),1,""))</f>
        <v/>
      </c>
      <c r="CT57" s="5" t="str">
        <f ca="1">IF(AND($C57="Objetivo",CT$8&gt;=$F57,CT$8&lt;=$F57+$G57-1),2,IF(AND($C57="Hito",CT$8&gt;=$F57,CT$8&lt;=$F57+$G57-1),1,""))</f>
        <v/>
      </c>
      <c r="CU57" s="5" t="str">
        <f ca="1">IF(AND($C57="Objetivo",CU$8&gt;=$F57,CU$8&lt;=$F57+$G57-1),2,IF(AND($C57="Hito",CU$8&gt;=$F57,CU$8&lt;=$F57+$G57-1),1,""))</f>
        <v/>
      </c>
      <c r="CV57" s="5" t="str">
        <f ca="1">IF(AND($C57="Objetivo",CV$8&gt;=$F57,CV$8&lt;=$F57+$G57-1),2,IF(AND($C57="Hito",CV$8&gt;=$F57,CV$8&lt;=$F57+$G57-1),1,""))</f>
        <v/>
      </c>
      <c r="CW57" s="5" t="str">
        <f ca="1">IF(AND($C57="Objetivo",CW$8&gt;=$F57,CW$8&lt;=$F57+$G57-1),2,IF(AND($C57="Hito",CW$8&gt;=$F57,CW$8&lt;=$F57+$G57-1),1,""))</f>
        <v/>
      </c>
      <c r="CX57" s="5" t="str">
        <f ca="1">IF(AND($C57="Objetivo",CX$8&gt;=$F57,CX$8&lt;=$F57+$G57-1),2,IF(AND($C57="Hito",CX$8&gt;=$F57,CX$8&lt;=$F57+$G57-1),1,""))</f>
        <v/>
      </c>
      <c r="CY57" s="5" t="str">
        <f ca="1">IF(AND($C57="Objetivo",CY$8&gt;=$F57,CY$8&lt;=$F57+$G57-1),2,IF(AND($C57="Hito",CY$8&gt;=$F57,CY$8&lt;=$F57+$G57-1),1,""))</f>
        <v/>
      </c>
      <c r="CZ57" s="5" t="str">
        <f ca="1">IF(AND($C57="Objetivo",CZ$8&gt;=$F57,CZ$8&lt;=$F57+$G57-1),2,IF(AND($C57="Hito",CZ$8&gt;=$F57,CZ$8&lt;=$F57+$G57-1),1,""))</f>
        <v/>
      </c>
      <c r="DA57" s="5" t="str">
        <f ca="1">IF(AND($C57="Objetivo",DA$8&gt;=$F57,DA$8&lt;=$F57+$G57-1),2,IF(AND($C57="Hito",DA$8&gt;=$F57,DA$8&lt;=$F57+$G57-1),1,""))</f>
        <v/>
      </c>
      <c r="DB57" s="5" t="str">
        <f ca="1">IF(AND($C57="Objetivo",DB$8&gt;=$F57,DB$8&lt;=$F57+$G57-1),2,IF(AND($C57="Hito",DB$8&gt;=$F57,DB$8&lt;=$F57+$G57-1),1,""))</f>
        <v/>
      </c>
    </row>
    <row r="58" spans="1:106" ht="51" customHeight="1" x14ac:dyDescent="0.25">
      <c r="B58" s="39" t="s">
        <v>23</v>
      </c>
      <c r="C58" s="34"/>
      <c r="D58" s="34"/>
      <c r="E58" s="49">
        <f>AVERAGE(E59:E66)</f>
        <v>0.43333333333333329</v>
      </c>
      <c r="F58" s="40"/>
      <c r="G58" s="57"/>
      <c r="H58" s="29"/>
      <c r="I58" s="29"/>
      <c r="J58" s="2"/>
      <c r="K58" s="5" t="str">
        <f ca="1">IF(AND($C58="Objetivo",K$8&gt;=$F58,K$8&lt;=$F58+$G58-1),2,IF(AND($C58="Hito",K$8&gt;=$F58,K$8&lt;=$F58+$G58-1),1,""))</f>
        <v/>
      </c>
      <c r="L58" s="5" t="str">
        <f ca="1">IF(AND($C58="Objetivo",L$8&gt;=$F58,L$8&lt;=$F58+$G58-1),2,IF(AND($C58="Hito",L$8&gt;=$F58,L$8&lt;=$F58+$G58-1),1,""))</f>
        <v/>
      </c>
      <c r="M58" s="5" t="str">
        <f ca="1">IF(AND($C58="Objetivo",M$8&gt;=$F58,M$8&lt;=$F58+$G58-1),2,IF(AND($C58="Hito",M$8&gt;=$F58,M$8&lt;=$F58+$G58-1),1,""))</f>
        <v/>
      </c>
      <c r="N58" s="5" t="str">
        <f ca="1">IF(AND($C58="Objetivo",N$8&gt;=$F58,N$8&lt;=$F58+$G58-1),2,IF(AND($C58="Hito",N$8&gt;=$F58,N$8&lt;=$F58+$G58-1),1,""))</f>
        <v/>
      </c>
      <c r="O58" s="5" t="str">
        <f ca="1">IF(AND($C58="Objetivo",O$8&gt;=$F58,O$8&lt;=$F58+$G58-1),2,IF(AND($C58="Hito",O$8&gt;=$F58,O$8&lt;=$F58+$G58-1),1,""))</f>
        <v/>
      </c>
      <c r="P58" s="5" t="str">
        <f ca="1">IF(AND($C58="Objetivo",P$8&gt;=$F58,P$8&lt;=$F58+$G58-1),2,IF(AND($C58="Hito",P$8&gt;=$F58,P$8&lt;=$F58+$G58-1),1,""))</f>
        <v/>
      </c>
      <c r="Q58" s="5" t="str">
        <f ca="1">IF(AND($C58="Objetivo",Q$8&gt;=$F58,Q$8&lt;=$F58+$G58-1),2,IF(AND($C58="Hito",Q$8&gt;=$F58,Q$8&lt;=$F58+$G58-1),1,""))</f>
        <v/>
      </c>
      <c r="R58" s="5" t="str">
        <f ca="1">IF(AND($C58="Objetivo",R$8&gt;=$F58,R$8&lt;=$F58+$G58-1),2,IF(AND($C58="Hito",R$8&gt;=$F58,R$8&lt;=$F58+$G58-1),1,""))</f>
        <v/>
      </c>
      <c r="S58" s="5" t="str">
        <f ca="1">IF(AND($C58="Objetivo",S$8&gt;=$F58,S$8&lt;=$F58+$G58-1),2,IF(AND($C58="Hito",S$8&gt;=$F58,S$8&lt;=$F58+$G58-1),1,""))</f>
        <v/>
      </c>
      <c r="T58" s="5" t="str">
        <f ca="1">IF(AND($C58="Objetivo",T$8&gt;=$F58,T$8&lt;=$F58+$G58-1),2,IF(AND($C58="Hito",T$8&gt;=$F58,T$8&lt;=$F58+$G58-1),1,""))</f>
        <v/>
      </c>
      <c r="U58" s="5" t="str">
        <f ca="1">IF(AND($C58="Objetivo",U$8&gt;=$F58,U$8&lt;=$F58+$G58-1),2,IF(AND($C58="Hito",U$8&gt;=$F58,U$8&lt;=$F58+$G58-1),1,""))</f>
        <v/>
      </c>
      <c r="V58" s="5" t="str">
        <f ca="1">IF(AND($C58="Objetivo",V$8&gt;=$F58,V$8&lt;=$F58+$G58-1),2,IF(AND($C58="Hito",V$8&gt;=$F58,V$8&lt;=$F58+$G58-1),1,""))</f>
        <v/>
      </c>
      <c r="W58" s="5" t="str">
        <f ca="1">IF(AND($C58="Objetivo",W$8&gt;=$F58,W$8&lt;=$F58+$G58-1),2,IF(AND($C58="Hito",W$8&gt;=$F58,W$8&lt;=$F58+$G58-1),1,""))</f>
        <v/>
      </c>
      <c r="X58" s="5" t="str">
        <f ca="1">IF(AND($C58="Objetivo",X$8&gt;=$F58,X$8&lt;=$F58+$G58-1),2,IF(AND($C58="Hito",X$8&gt;=$F58,X$8&lt;=$F58+$G58-1),1,""))</f>
        <v/>
      </c>
      <c r="Y58" s="5" t="str">
        <f ca="1">IF(AND($C58="Objetivo",Y$8&gt;=$F58,Y$8&lt;=$F58+$G58-1),2,IF(AND($C58="Hito",Y$8&gt;=$F58,Y$8&lt;=$F58+$G58-1),1,""))</f>
        <v/>
      </c>
      <c r="Z58" s="5" t="str">
        <f ca="1">IF(AND($C58="Objetivo",Z$8&gt;=$F58,Z$8&lt;=$F58+$G58-1),2,IF(AND($C58="Hito",Z$8&gt;=$F58,Z$8&lt;=$F58+$G58-1),1,""))</f>
        <v/>
      </c>
      <c r="AA58" s="5" t="str">
        <f ca="1">IF(AND($C58="Objetivo",AA$8&gt;=$F58,AA$8&lt;=$F58+$G58-1),2,IF(AND($C58="Hito",AA$8&gt;=$F58,AA$8&lt;=$F58+$G58-1),1,""))</f>
        <v/>
      </c>
      <c r="AB58" s="5" t="str">
        <f ca="1">IF(AND($C58="Objetivo",AB$8&gt;=$F58,AB$8&lt;=$F58+$G58-1),2,IF(AND($C58="Hito",AB$8&gt;=$F58,AB$8&lt;=$F58+$G58-1),1,""))</f>
        <v/>
      </c>
      <c r="AC58" s="5" t="str">
        <f ca="1">IF(AND($C58="Objetivo",AC$8&gt;=$F58,AC$8&lt;=$F58+$G58-1),2,IF(AND($C58="Hito",AC$8&gt;=$F58,AC$8&lt;=$F58+$G58-1),1,""))</f>
        <v/>
      </c>
      <c r="AD58" s="5" t="str">
        <f ca="1">IF(AND($C58="Objetivo",AD$8&gt;=$F58,AD$8&lt;=$F58+$G58-1),2,IF(AND($C58="Hito",AD$8&gt;=$F58,AD$8&lt;=$F58+$G58-1),1,""))</f>
        <v/>
      </c>
      <c r="AE58" s="5" t="str">
        <f ca="1">IF(AND($C58="Objetivo",AE$8&gt;=$F58,AE$8&lt;=$F58+$G58-1),2,IF(AND($C58="Hito",AE$8&gt;=$F58,AE$8&lt;=$F58+$G58-1),1,""))</f>
        <v/>
      </c>
      <c r="AF58" s="5" t="str">
        <f ca="1">IF(AND($C58="Objetivo",AF$8&gt;=$F58,AF$8&lt;=$F58+$G58-1),2,IF(AND($C58="Hito",AF$8&gt;=$F58,AF$8&lt;=$F58+$G58-1),1,""))</f>
        <v/>
      </c>
      <c r="AG58" s="5" t="str">
        <f ca="1">IF(AND($C58="Objetivo",AG$8&gt;=$F58,AG$8&lt;=$F58+$G58-1),2,IF(AND($C58="Hito",AG$8&gt;=$F58,AG$8&lt;=$F58+$G58-1),1,""))</f>
        <v/>
      </c>
      <c r="AH58" s="5" t="str">
        <f ca="1">IF(AND($C58="Objetivo",AH$8&gt;=$F58,AH$8&lt;=$F58+$G58-1),2,IF(AND($C58="Hito",AH$8&gt;=$F58,AH$8&lt;=$F58+$G58-1),1,""))</f>
        <v/>
      </c>
      <c r="AI58" s="5" t="str">
        <f ca="1">IF(AND($C58="Objetivo",AI$8&gt;=$F58,AI$8&lt;=$F58+$G58-1),2,IF(AND($C58="Hito",AI$8&gt;=$F58,AI$8&lt;=$F58+$G58-1),1,""))</f>
        <v/>
      </c>
      <c r="AJ58" s="5" t="str">
        <f ca="1">IF(AND($C58="Objetivo",AJ$8&gt;=$F58,AJ$8&lt;=$F58+$G58-1),2,IF(AND($C58="Hito",AJ$8&gt;=$F58,AJ$8&lt;=$F58+$G58-1),1,""))</f>
        <v/>
      </c>
      <c r="AK58" s="5" t="str">
        <f ca="1">IF(AND($C58="Objetivo",AK$8&gt;=$F58,AK$8&lt;=$F58+$G58-1),2,IF(AND($C58="Hito",AK$8&gt;=$F58,AK$8&lt;=$F58+$G58-1),1,""))</f>
        <v/>
      </c>
      <c r="AL58" s="5" t="str">
        <f ca="1">IF(AND($C58="Objetivo",AL$8&gt;=$F58,AL$8&lt;=$F58+$G58-1),2,IF(AND($C58="Hito",AL$8&gt;=$F58,AL$8&lt;=$F58+$G58-1),1,""))</f>
        <v/>
      </c>
      <c r="AM58" s="5" t="str">
        <f ca="1">IF(AND($C58="Objetivo",AM$8&gt;=$F58,AM$8&lt;=$F58+$G58-1),2,IF(AND($C58="Hito",AM$8&gt;=$F58,AM$8&lt;=$F58+$G58-1),1,""))</f>
        <v/>
      </c>
      <c r="AN58" s="5" t="str">
        <f ca="1">IF(AND($C58="Objetivo",AN$8&gt;=$F58,AN$8&lt;=$F58+$G58-1),2,IF(AND($C58="Hito",AN$8&gt;=$F58,AN$8&lt;=$F58+$G58-1),1,""))</f>
        <v/>
      </c>
      <c r="AO58" s="5" t="str">
        <f ca="1">IF(AND($C58="Objetivo",AO$8&gt;=$F58,AO$8&lt;=$F58+$G58-1),2,IF(AND($C58="Hito",AO$8&gt;=$F58,AO$8&lt;=$F58+$G58-1),1,""))</f>
        <v/>
      </c>
      <c r="AP58" s="5" t="str">
        <f ca="1">IF(AND($C58="Objetivo",AP$8&gt;=$F58,AP$8&lt;=$F58+$G58-1),2,IF(AND($C58="Hito",AP$8&gt;=$F58,AP$8&lt;=$F58+$G58-1),1,""))</f>
        <v/>
      </c>
      <c r="AQ58" s="5" t="str">
        <f ca="1">IF(AND($C58="Objetivo",AQ$8&gt;=$F58,AQ$8&lt;=$F58+$G58-1),2,IF(AND($C58="Hito",AQ$8&gt;=$F58,AQ$8&lt;=$F58+$G58-1),1,""))</f>
        <v/>
      </c>
      <c r="AR58" s="5" t="str">
        <f ca="1">IF(AND($C58="Objetivo",AR$8&gt;=$F58,AR$8&lt;=$F58+$G58-1),2,IF(AND($C58="Hito",AR$8&gt;=$F58,AR$8&lt;=$F58+$G58-1),1,""))</f>
        <v/>
      </c>
      <c r="AS58" s="5" t="str">
        <f ca="1">IF(AND($C58="Objetivo",AS$8&gt;=$F58,AS$8&lt;=$F58+$G58-1),2,IF(AND($C58="Hito",AS$8&gt;=$F58,AS$8&lt;=$F58+$G58-1),1,""))</f>
        <v/>
      </c>
      <c r="AT58" s="5" t="str">
        <f ca="1">IF(AND($C58="Objetivo",AT$8&gt;=$F58,AT$8&lt;=$F58+$G58-1),2,IF(AND($C58="Hito",AT$8&gt;=$F58,AT$8&lt;=$F58+$G58-1),1,""))</f>
        <v/>
      </c>
      <c r="AU58" s="5" t="str">
        <f ca="1">IF(AND($C58="Objetivo",AU$8&gt;=$F58,AU$8&lt;=$F58+$G58-1),2,IF(AND($C58="Hito",AU$8&gt;=$F58,AU$8&lt;=$F58+$G58-1),1,""))</f>
        <v/>
      </c>
      <c r="AV58" s="5" t="str">
        <f ca="1">IF(AND($C58="Objetivo",AV$8&gt;=$F58,AV$8&lt;=$F58+$G58-1),2,IF(AND($C58="Hito",AV$8&gt;=$F58,AV$8&lt;=$F58+$G58-1),1,""))</f>
        <v/>
      </c>
      <c r="AW58" s="5" t="str">
        <f ca="1">IF(AND($C58="Objetivo",AW$8&gt;=$F58,AW$8&lt;=$F58+$G58-1),2,IF(AND($C58="Hito",AW$8&gt;=$F58,AW$8&lt;=$F58+$G58-1),1,""))</f>
        <v/>
      </c>
      <c r="AX58" s="5" t="str">
        <f ca="1">IF(AND($C58="Objetivo",AX$8&gt;=$F58,AX$8&lt;=$F58+$G58-1),2,IF(AND($C58="Hito",AX$8&gt;=$F58,AX$8&lt;=$F58+$G58-1),1,""))</f>
        <v/>
      </c>
      <c r="AY58" s="5" t="str">
        <f ca="1">IF(AND($C58="Objetivo",AY$8&gt;=$F58,AY$8&lt;=$F58+$G58-1),2,IF(AND($C58="Hito",AY$8&gt;=$F58,AY$8&lt;=$F58+$G58-1),1,""))</f>
        <v/>
      </c>
      <c r="AZ58" s="5" t="str">
        <f ca="1">IF(AND($C58="Objetivo",AZ$8&gt;=$F58,AZ$8&lt;=$F58+$G58-1),2,IF(AND($C58="Hito",AZ$8&gt;=$F58,AZ$8&lt;=$F58+$G58-1),1,""))</f>
        <v/>
      </c>
      <c r="BA58" s="5" t="str">
        <f ca="1">IF(AND($C58="Objetivo",BA$8&gt;=$F58,BA$8&lt;=$F58+$G58-1),2,IF(AND($C58="Hito",BA$8&gt;=$F58,BA$8&lt;=$F58+$G58-1),1,""))</f>
        <v/>
      </c>
      <c r="BB58" s="5" t="str">
        <f ca="1">IF(AND($C58="Objetivo",BB$8&gt;=$F58,BB$8&lt;=$F58+$G58-1),2,IF(AND($C58="Hito",BB$8&gt;=$F58,BB$8&lt;=$F58+$G58-1),1,""))</f>
        <v/>
      </c>
      <c r="BC58" s="5" t="str">
        <f ca="1">IF(AND($C58="Objetivo",BC$8&gt;=$F58,BC$8&lt;=$F58+$G58-1),2,IF(AND($C58="Hito",BC$8&gt;=$F58,BC$8&lt;=$F58+$G58-1),1,""))</f>
        <v/>
      </c>
      <c r="BD58" s="5" t="str">
        <f ca="1">IF(AND($C58="Objetivo",BD$8&gt;=$F58,BD$8&lt;=$F58+$G58-1),2,IF(AND($C58="Hito",BD$8&gt;=$F58,BD$8&lt;=$F58+$G58-1),1,""))</f>
        <v/>
      </c>
      <c r="BE58" s="5" t="str">
        <f ca="1">IF(AND($C58="Objetivo",BE$8&gt;=$F58,BE$8&lt;=$F58+$G58-1),2,IF(AND($C58="Hito",BE$8&gt;=$F58,BE$8&lt;=$F58+$G58-1),1,""))</f>
        <v/>
      </c>
      <c r="BF58" s="5" t="str">
        <f ca="1">IF(AND($C58="Objetivo",BF$8&gt;=$F58,BF$8&lt;=$F58+$G58-1),2,IF(AND($C58="Hito",BF$8&gt;=$F58,BF$8&lt;=$F58+$G58-1),1,""))</f>
        <v/>
      </c>
      <c r="BG58" s="5" t="str">
        <f ca="1">IF(AND($C58="Objetivo",BG$8&gt;=$F58,BG$8&lt;=$F58+$G58-1),2,IF(AND($C58="Hito",BG$8&gt;=$F58,BG$8&lt;=$F58+$G58-1),1,""))</f>
        <v/>
      </c>
      <c r="BH58" s="5" t="str">
        <f ca="1">IF(AND($C58="Objetivo",BH$8&gt;=$F58,BH$8&lt;=$F58+$G58-1),2,IF(AND($C58="Hito",BH$8&gt;=$F58,BH$8&lt;=$F58+$G58-1),1,""))</f>
        <v/>
      </c>
      <c r="BI58" s="5" t="str">
        <f ca="1">IF(AND($C58="Objetivo",BI$8&gt;=$F58,BI$8&lt;=$F58+$G58-1),2,IF(AND($C58="Hito",BI$8&gt;=$F58,BI$8&lt;=$F58+$G58-1),1,""))</f>
        <v/>
      </c>
      <c r="BJ58" s="5" t="str">
        <f ca="1">IF(AND($C58="Objetivo",BJ$8&gt;=$F58,BJ$8&lt;=$F58+$G58-1),2,IF(AND($C58="Hito",BJ$8&gt;=$F58,BJ$8&lt;=$F58+$G58-1),1,""))</f>
        <v/>
      </c>
      <c r="BK58" s="5" t="str">
        <f ca="1">IF(AND($C58="Objetivo",BK$8&gt;=$F58,BK$8&lt;=$F58+$G58-1),2,IF(AND($C58="Hito",BK$8&gt;=$F58,BK$8&lt;=$F58+$G58-1),1,""))</f>
        <v/>
      </c>
      <c r="BL58" s="5" t="str">
        <f ca="1">IF(AND($C58="Objetivo",BL$8&gt;=$F58,BL$8&lt;=$F58+$G58-1),2,IF(AND($C58="Hito",BL$8&gt;=$F58,BL$8&lt;=$F58+$G58-1),1,""))</f>
        <v/>
      </c>
      <c r="BM58" s="5" t="str">
        <f ca="1">IF(AND($C58="Objetivo",BM$8&gt;=$F58,BM$8&lt;=$F58+$G58-1),2,IF(AND($C58="Hito",BM$8&gt;=$F58,BM$8&lt;=$F58+$G58-1),1,""))</f>
        <v/>
      </c>
      <c r="BN58" s="5" t="str">
        <f ca="1">IF(AND($C58="Objetivo",BN$8&gt;=$F58,BN$8&lt;=$F58+$G58-1),2,IF(AND($C58="Hito",BN$8&gt;=$F58,BN$8&lt;=$F58+$G58-1),1,""))</f>
        <v/>
      </c>
      <c r="BO58" s="5" t="str">
        <f ca="1">IF(AND($C58="Objetivo",BO$8&gt;=$F58,BO$8&lt;=$F58+$G58-1),2,IF(AND($C58="Hito",BO$8&gt;=$F58,BO$8&lt;=$F58+$G58-1),1,""))</f>
        <v/>
      </c>
      <c r="BP58" s="5" t="str">
        <f ca="1">IF(AND($C58="Objetivo",BP$8&gt;=$F58,BP$8&lt;=$F58+$G58-1),2,IF(AND($C58="Hito",BP$8&gt;=$F58,BP$8&lt;=$F58+$G58-1),1,""))</f>
        <v/>
      </c>
      <c r="BQ58" s="5" t="str">
        <f ca="1">IF(AND($C58="Objetivo",BQ$8&gt;=$F58,BQ$8&lt;=$F58+$G58-1),2,IF(AND($C58="Hito",BQ$8&gt;=$F58,BQ$8&lt;=$F58+$G58-1),1,""))</f>
        <v/>
      </c>
      <c r="BR58" s="5" t="str">
        <f ca="1">IF(AND($C58="Objetivo",BR$8&gt;=$F58,BR$8&lt;=$F58+$G58-1),2,IF(AND($C58="Hito",BR$8&gt;=$F58,BR$8&lt;=$F58+$G58-1),1,""))</f>
        <v/>
      </c>
      <c r="BS58" s="5" t="str">
        <f ca="1">IF(AND($C58="Objetivo",BS$8&gt;=$F58,BS$8&lt;=$F58+$G58-1),2,IF(AND($C58="Hito",BS$8&gt;=$F58,BS$8&lt;=$F58+$G58-1),1,""))</f>
        <v/>
      </c>
      <c r="BT58" s="5" t="str">
        <f ca="1">IF(AND($C58="Objetivo",BT$8&gt;=$F58,BT$8&lt;=$F58+$G58-1),2,IF(AND($C58="Hito",BT$8&gt;=$F58,BT$8&lt;=$F58+$G58-1),1,""))</f>
        <v/>
      </c>
      <c r="BU58" s="5" t="str">
        <f ca="1">IF(AND($C58="Objetivo",BU$8&gt;=$F58,BU$8&lt;=$F58+$G58-1),2,IF(AND($C58="Hito",BU$8&gt;=$F58,BU$8&lt;=$F58+$G58-1),1,""))</f>
        <v/>
      </c>
      <c r="BV58" s="5" t="str">
        <f ca="1">IF(AND($C58="Objetivo",BV$8&gt;=$F58,BV$8&lt;=$F58+$G58-1),2,IF(AND($C58="Hito",BV$8&gt;=$F58,BV$8&lt;=$F58+$G58-1),1,""))</f>
        <v/>
      </c>
      <c r="BW58" s="5" t="str">
        <f ca="1">IF(AND($C58="Objetivo",BW$8&gt;=$F58,BW$8&lt;=$F58+$G58-1),2,IF(AND($C58="Hito",BW$8&gt;=$F58,BW$8&lt;=$F58+$G58-1),1,""))</f>
        <v/>
      </c>
      <c r="BX58" s="5" t="str">
        <f ca="1">IF(AND($C58="Objetivo",BX$8&gt;=$F58,BX$8&lt;=$F58+$G58-1),2,IF(AND($C58="Hito",BX$8&gt;=$F58,BX$8&lt;=$F58+$G58-1),1,""))</f>
        <v/>
      </c>
      <c r="BY58" s="5" t="str">
        <f ca="1">IF(AND($C58="Objetivo",BY$8&gt;=$F58,BY$8&lt;=$F58+$G58-1),2,IF(AND($C58="Hito",BY$8&gt;=$F58,BY$8&lt;=$F58+$G58-1),1,""))</f>
        <v/>
      </c>
      <c r="BZ58" s="5" t="str">
        <f ca="1">IF(AND($C58="Objetivo",BZ$8&gt;=$F58,BZ$8&lt;=$F58+$G58-1),2,IF(AND($C58="Hito",BZ$8&gt;=$F58,BZ$8&lt;=$F58+$G58-1),1,""))</f>
        <v/>
      </c>
      <c r="CA58" s="5" t="str">
        <f ca="1">IF(AND($C58="Objetivo",CA$8&gt;=$F58,CA$8&lt;=$F58+$G58-1),2,IF(AND($C58="Hito",CA$8&gt;=$F58,CA$8&lt;=$F58+$G58-1),1,""))</f>
        <v/>
      </c>
      <c r="CB58" s="5" t="str">
        <f ca="1">IF(AND($C58="Objetivo",CB$8&gt;=$F58,CB$8&lt;=$F58+$G58-1),2,IF(AND($C58="Hito",CB$8&gt;=$F58,CB$8&lt;=$F58+$G58-1),1,""))</f>
        <v/>
      </c>
      <c r="CC58" s="5" t="str">
        <f ca="1">IF(AND($C58="Objetivo",CC$8&gt;=$F58,CC$8&lt;=$F58+$G58-1),2,IF(AND($C58="Hito",CC$8&gt;=$F58,CC$8&lt;=$F58+$G58-1),1,""))</f>
        <v/>
      </c>
      <c r="CD58" s="5" t="str">
        <f ca="1">IF(AND($C58="Objetivo",CD$8&gt;=$F58,CD$8&lt;=$F58+$G58-1),2,IF(AND($C58="Hito",CD$8&gt;=$F58,CD$8&lt;=$F58+$G58-1),1,""))</f>
        <v/>
      </c>
      <c r="CE58" s="5" t="str">
        <f ca="1">IF(AND($C58="Objetivo",CE$8&gt;=$F58,CE$8&lt;=$F58+$G58-1),2,IF(AND($C58="Hito",CE$8&gt;=$F58,CE$8&lt;=$F58+$G58-1),1,""))</f>
        <v/>
      </c>
      <c r="CF58" s="5" t="str">
        <f ca="1">IF(AND($C58="Objetivo",CF$8&gt;=$F58,CF$8&lt;=$F58+$G58-1),2,IF(AND($C58="Hito",CF$8&gt;=$F58,CF$8&lt;=$F58+$G58-1),1,""))</f>
        <v/>
      </c>
      <c r="CG58" s="5" t="str">
        <f ca="1">IF(AND($C58="Objetivo",CG$8&gt;=$F58,CG$8&lt;=$F58+$G58-1),2,IF(AND($C58="Hito",CG$8&gt;=$F58,CG$8&lt;=$F58+$G58-1),1,""))</f>
        <v/>
      </c>
      <c r="CH58" s="5" t="str">
        <f ca="1">IF(AND($C58="Objetivo",CH$8&gt;=$F58,CH$8&lt;=$F58+$G58-1),2,IF(AND($C58="Hito",CH$8&gt;=$F58,CH$8&lt;=$F58+$G58-1),1,""))</f>
        <v/>
      </c>
      <c r="CI58" s="5" t="str">
        <f ca="1">IF(AND($C58="Objetivo",CI$8&gt;=$F58,CI$8&lt;=$F58+$G58-1),2,IF(AND($C58="Hito",CI$8&gt;=$F58,CI$8&lt;=$F58+$G58-1),1,""))</f>
        <v/>
      </c>
      <c r="CJ58" s="5" t="str">
        <f ca="1">IF(AND($C58="Objetivo",CJ$8&gt;=$F58,CJ$8&lt;=$F58+$G58-1),2,IF(AND($C58="Hito",CJ$8&gt;=$F58,CJ$8&lt;=$F58+$G58-1),1,""))</f>
        <v/>
      </c>
      <c r="CK58" s="5" t="str">
        <f ca="1">IF(AND($C58="Objetivo",CK$8&gt;=$F58,CK$8&lt;=$F58+$G58-1),2,IF(AND($C58="Hito",CK$8&gt;=$F58,CK$8&lt;=$F58+$G58-1),1,""))</f>
        <v/>
      </c>
      <c r="CL58" s="5" t="str">
        <f ca="1">IF(AND($C58="Objetivo",CL$8&gt;=$F58,CL$8&lt;=$F58+$G58-1),2,IF(AND($C58="Hito",CL$8&gt;=$F58,CL$8&lt;=$F58+$G58-1),1,""))</f>
        <v/>
      </c>
      <c r="CM58" s="5" t="str">
        <f ca="1">IF(AND($C58="Objetivo",CM$8&gt;=$F58,CM$8&lt;=$F58+$G58-1),2,IF(AND($C58="Hito",CM$8&gt;=$F58,CM$8&lt;=$F58+$G58-1),1,""))</f>
        <v/>
      </c>
      <c r="CN58" s="5" t="str">
        <f ca="1">IF(AND($C58="Objetivo",CN$8&gt;=$F58,CN$8&lt;=$F58+$G58-1),2,IF(AND($C58="Hito",CN$8&gt;=$F58,CN$8&lt;=$F58+$G58-1),1,""))</f>
        <v/>
      </c>
      <c r="CO58" s="5" t="str">
        <f ca="1">IF(AND($C58="Objetivo",CO$8&gt;=$F58,CO$8&lt;=$F58+$G58-1),2,IF(AND($C58="Hito",CO$8&gt;=$F58,CO$8&lt;=$F58+$G58-1),1,""))</f>
        <v/>
      </c>
      <c r="CP58" s="5" t="str">
        <f ca="1">IF(AND($C58="Objetivo",CP$8&gt;=$F58,CP$8&lt;=$F58+$G58-1),2,IF(AND($C58="Hito",CP$8&gt;=$F58,CP$8&lt;=$F58+$G58-1),1,""))</f>
        <v/>
      </c>
      <c r="CQ58" s="5" t="str">
        <f ca="1">IF(AND($C58="Objetivo",CQ$8&gt;=$F58,CQ$8&lt;=$F58+$G58-1),2,IF(AND($C58="Hito",CQ$8&gt;=$F58,CQ$8&lt;=$F58+$G58-1),1,""))</f>
        <v/>
      </c>
      <c r="CR58" s="5" t="str">
        <f ca="1">IF(AND($C58="Objetivo",CR$8&gt;=$F58,CR$8&lt;=$F58+$G58-1),2,IF(AND($C58="Hito",CR$8&gt;=$F58,CR$8&lt;=$F58+$G58-1),1,""))</f>
        <v/>
      </c>
      <c r="CS58" s="5" t="str">
        <f ca="1">IF(AND($C58="Objetivo",CS$8&gt;=$F58,CS$8&lt;=$F58+$G58-1),2,IF(AND($C58="Hito",CS$8&gt;=$F58,CS$8&lt;=$F58+$G58-1),1,""))</f>
        <v/>
      </c>
      <c r="CT58" s="5" t="str">
        <f ca="1">IF(AND($C58="Objetivo",CT$8&gt;=$F58,CT$8&lt;=$F58+$G58-1),2,IF(AND($C58="Hito",CT$8&gt;=$F58,CT$8&lt;=$F58+$G58-1),1,""))</f>
        <v/>
      </c>
      <c r="CU58" s="5" t="str">
        <f ca="1">IF(AND($C58="Objetivo",CU$8&gt;=$F58,CU$8&lt;=$F58+$G58-1),2,IF(AND($C58="Hito",CU$8&gt;=$F58,CU$8&lt;=$F58+$G58-1),1,""))</f>
        <v/>
      </c>
      <c r="CV58" s="5" t="str">
        <f ca="1">IF(AND($C58="Objetivo",CV$8&gt;=$F58,CV$8&lt;=$F58+$G58-1),2,IF(AND($C58="Hito",CV$8&gt;=$F58,CV$8&lt;=$F58+$G58-1),1,""))</f>
        <v/>
      </c>
      <c r="CW58" s="5" t="str">
        <f ca="1">IF(AND($C58="Objetivo",CW$8&gt;=$F58,CW$8&lt;=$F58+$G58-1),2,IF(AND($C58="Hito",CW$8&gt;=$F58,CW$8&lt;=$F58+$G58-1),1,""))</f>
        <v/>
      </c>
      <c r="CX58" s="5" t="str">
        <f ca="1">IF(AND($C58="Objetivo",CX$8&gt;=$F58,CX$8&lt;=$F58+$G58-1),2,IF(AND($C58="Hito",CX$8&gt;=$F58,CX$8&lt;=$F58+$G58-1),1,""))</f>
        <v/>
      </c>
      <c r="CY58" s="5" t="str">
        <f ca="1">IF(AND($C58="Objetivo",CY$8&gt;=$F58,CY$8&lt;=$F58+$G58-1),2,IF(AND($C58="Hito",CY$8&gt;=$F58,CY$8&lt;=$F58+$G58-1),1,""))</f>
        <v/>
      </c>
      <c r="CZ58" s="5" t="str">
        <f ca="1">IF(AND($C58="Objetivo",CZ$8&gt;=$F58,CZ$8&lt;=$F58+$G58-1),2,IF(AND($C58="Hito",CZ$8&gt;=$F58,CZ$8&lt;=$F58+$G58-1),1,""))</f>
        <v/>
      </c>
      <c r="DA58" s="5" t="str">
        <f ca="1">IF(AND($C58="Objetivo",DA$8&gt;=$F58,DA$8&lt;=$F58+$G58-1),2,IF(AND($C58="Hito",DA$8&gt;=$F58,DA$8&lt;=$F58+$G58-1),1,""))</f>
        <v/>
      </c>
      <c r="DB58" s="5" t="str">
        <f ca="1">IF(AND($C58="Objetivo",DB$8&gt;=$F58,DB$8&lt;=$F58+$G58-1),2,IF(AND($C58="Hito",DB$8&gt;=$F58,DB$8&lt;=$F58+$G58-1),1,""))</f>
        <v/>
      </c>
    </row>
    <row r="59" spans="1:106" ht="29.25" customHeight="1" x14ac:dyDescent="0.25">
      <c r="B59" s="34" t="s">
        <v>82</v>
      </c>
      <c r="C59" s="34" t="s">
        <v>5</v>
      </c>
      <c r="D59" s="34" t="s">
        <v>85</v>
      </c>
      <c r="E59" s="50">
        <v>0.7</v>
      </c>
      <c r="F59" s="40">
        <v>45982</v>
      </c>
      <c r="G59" s="57">
        <v>1</v>
      </c>
      <c r="H59" s="58" t="s">
        <v>106</v>
      </c>
      <c r="I59" s="58" t="s">
        <v>109</v>
      </c>
      <c r="K59" s="5" t="str">
        <f ca="1">IF(AND($C59="Objetivo",K$8&gt;=$F59,K$8&lt;=$F59+$G59-1),2,IF(AND($C59="Hito",K$8&gt;=$F59,K$8&lt;=$F59+$G59-1),1,""))</f>
        <v/>
      </c>
      <c r="L59" s="5" t="str">
        <f ca="1">IF(AND($C59="Objetivo",L$8&gt;=$F59,L$8&lt;=$F59+$G59-1),2,IF(AND($C59="Hito",L$8&gt;=$F59,L$8&lt;=$F59+$G59-1),1,""))</f>
        <v/>
      </c>
      <c r="M59" s="5" t="str">
        <f ca="1">IF(AND($C59="Objetivo",M$8&gt;=$F59,M$8&lt;=$F59+$G59-1),2,IF(AND($C59="Hito",M$8&gt;=$F59,M$8&lt;=$F59+$G59-1),1,""))</f>
        <v/>
      </c>
      <c r="N59" s="5" t="str">
        <f ca="1">IF(AND($C59="Objetivo",N$8&gt;=$F59,N$8&lt;=$F59+$G59-1),2,IF(AND($C59="Hito",N$8&gt;=$F59,N$8&lt;=$F59+$G59-1),1,""))</f>
        <v/>
      </c>
      <c r="O59" s="5" t="str">
        <f ca="1">IF(AND($C59="Objetivo",O$8&gt;=$F59,O$8&lt;=$F59+$G59-1),2,IF(AND($C59="Hito",O$8&gt;=$F59,O$8&lt;=$F59+$G59-1),1,""))</f>
        <v/>
      </c>
      <c r="P59" s="5" t="str">
        <f ca="1">IF(AND($C59="Objetivo",P$8&gt;=$F59,P$8&lt;=$F59+$G59-1),2,IF(AND($C59="Hito",P$8&gt;=$F59,P$8&lt;=$F59+$G59-1),1,""))</f>
        <v/>
      </c>
      <c r="Q59" s="5" t="str">
        <f ca="1">IF(AND($C59="Objetivo",Q$8&gt;=$F59,Q$8&lt;=$F59+$G59-1),2,IF(AND($C59="Hito",Q$8&gt;=$F59,Q$8&lt;=$F59+$G59-1),1,""))</f>
        <v/>
      </c>
      <c r="R59" s="5" t="str">
        <f ca="1">IF(AND($C59="Objetivo",R$8&gt;=$F59,R$8&lt;=$F59+$G59-1),2,IF(AND($C59="Hito",R$8&gt;=$F59,R$8&lt;=$F59+$G59-1),1,""))</f>
        <v/>
      </c>
      <c r="S59" s="5" t="str">
        <f ca="1">IF(AND($C59="Objetivo",S$8&gt;=$F59,S$8&lt;=$F59+$G59-1),2,IF(AND($C59="Hito",S$8&gt;=$F59,S$8&lt;=$F59+$G59-1),1,""))</f>
        <v/>
      </c>
      <c r="T59" s="5" t="str">
        <f ca="1">IF(AND($C59="Objetivo",T$8&gt;=$F59,T$8&lt;=$F59+$G59-1),2,IF(AND($C59="Hito",T$8&gt;=$F59,T$8&lt;=$F59+$G59-1),1,""))</f>
        <v/>
      </c>
      <c r="U59" s="5" t="str">
        <f ca="1">IF(AND($C59="Objetivo",U$8&gt;=$F59,U$8&lt;=$F59+$G59-1),2,IF(AND($C59="Hito",U$8&gt;=$F59,U$8&lt;=$F59+$G59-1),1,""))</f>
        <v/>
      </c>
      <c r="V59" s="5" t="str">
        <f ca="1">IF(AND($C59="Objetivo",V$8&gt;=$F59,V$8&lt;=$F59+$G59-1),2,IF(AND($C59="Hito",V$8&gt;=$F59,V$8&lt;=$F59+$G59-1),1,""))</f>
        <v/>
      </c>
      <c r="W59" s="5" t="str">
        <f ca="1">IF(AND($C59="Objetivo",W$8&gt;=$F59,W$8&lt;=$F59+$G59-1),2,IF(AND($C59="Hito",W$8&gt;=$F59,W$8&lt;=$F59+$G59-1),1,""))</f>
        <v/>
      </c>
      <c r="X59" s="5" t="str">
        <f ca="1">IF(AND($C59="Objetivo",X$8&gt;=$F59,X$8&lt;=$F59+$G59-1),2,IF(AND($C59="Hito",X$8&gt;=$F59,X$8&lt;=$F59+$G59-1),1,""))</f>
        <v/>
      </c>
      <c r="Y59" s="5" t="str">
        <f ca="1">IF(AND($C59="Objetivo",Y$8&gt;=$F59,Y$8&lt;=$F59+$G59-1),2,IF(AND($C59="Hito",Y$8&gt;=$F59,Y$8&lt;=$F59+$G59-1),1,""))</f>
        <v/>
      </c>
      <c r="Z59" s="5" t="str">
        <f ca="1">IF(AND($C59="Objetivo",Z$8&gt;=$F59,Z$8&lt;=$F59+$G59-1),2,IF(AND($C59="Hito",Z$8&gt;=$F59,Z$8&lt;=$F59+$G59-1),1,""))</f>
        <v/>
      </c>
      <c r="AA59" s="5" t="str">
        <f ca="1">IF(AND($C59="Objetivo",AA$8&gt;=$F59,AA$8&lt;=$F59+$G59-1),2,IF(AND($C59="Hito",AA$8&gt;=$F59,AA$8&lt;=$F59+$G59-1),1,""))</f>
        <v/>
      </c>
      <c r="AB59" s="5" t="str">
        <f ca="1">IF(AND($C59="Objetivo",AB$8&gt;=$F59,AB$8&lt;=$F59+$G59-1),2,IF(AND($C59="Hito",AB$8&gt;=$F59,AB$8&lt;=$F59+$G59-1),1,""))</f>
        <v/>
      </c>
      <c r="AC59" s="5" t="str">
        <f ca="1">IF(AND($C59="Objetivo",AC$8&gt;=$F59,AC$8&lt;=$F59+$G59-1),2,IF(AND($C59="Hito",AC$8&gt;=$F59,AC$8&lt;=$F59+$G59-1),1,""))</f>
        <v/>
      </c>
      <c r="AD59" s="5" t="str">
        <f ca="1">IF(AND($C59="Objetivo",AD$8&gt;=$F59,AD$8&lt;=$F59+$G59-1),2,IF(AND($C59="Hito",AD$8&gt;=$F59,AD$8&lt;=$F59+$G59-1),1,""))</f>
        <v/>
      </c>
      <c r="AE59" s="5" t="str">
        <f ca="1">IF(AND($C59="Objetivo",AE$8&gt;=$F59,AE$8&lt;=$F59+$G59-1),2,IF(AND($C59="Hito",AE$8&gt;=$F59,AE$8&lt;=$F59+$G59-1),1,""))</f>
        <v/>
      </c>
      <c r="AF59" s="5" t="str">
        <f ca="1">IF(AND($C59="Objetivo",AF$8&gt;=$F59,AF$8&lt;=$F59+$G59-1),2,IF(AND($C59="Hito",AF$8&gt;=$F59,AF$8&lt;=$F59+$G59-1),1,""))</f>
        <v/>
      </c>
      <c r="AG59" s="5" t="str">
        <f ca="1">IF(AND($C59="Objetivo",AG$8&gt;=$F59,AG$8&lt;=$F59+$G59-1),2,IF(AND($C59="Hito",AG$8&gt;=$F59,AG$8&lt;=$F59+$G59-1),1,""))</f>
        <v/>
      </c>
      <c r="AH59" s="5" t="str">
        <f ca="1">IF(AND($C59="Objetivo",AH$8&gt;=$F59,AH$8&lt;=$F59+$G59-1),2,IF(AND($C59="Hito",AH$8&gt;=$F59,AH$8&lt;=$F59+$G59-1),1,""))</f>
        <v/>
      </c>
      <c r="AI59" s="5" t="str">
        <f ca="1">IF(AND($C59="Objetivo",AI$8&gt;=$F59,AI$8&lt;=$F59+$G59-1),2,IF(AND($C59="Hito",AI$8&gt;=$F59,AI$8&lt;=$F59+$G59-1),1,""))</f>
        <v/>
      </c>
      <c r="AJ59" s="5" t="str">
        <f ca="1">IF(AND($C59="Objetivo",AJ$8&gt;=$F59,AJ$8&lt;=$F59+$G59-1),2,IF(AND($C59="Hito",AJ$8&gt;=$F59,AJ$8&lt;=$F59+$G59-1),1,""))</f>
        <v/>
      </c>
      <c r="AK59" s="5" t="str">
        <f ca="1">IF(AND($C59="Objetivo",AK$8&gt;=$F59,AK$8&lt;=$F59+$G59-1),2,IF(AND($C59="Hito",AK$8&gt;=$F59,AK$8&lt;=$F59+$G59-1),1,""))</f>
        <v/>
      </c>
      <c r="AL59" s="5" t="str">
        <f ca="1">IF(AND($C59="Objetivo",AL$8&gt;=$F59,AL$8&lt;=$F59+$G59-1),2,IF(AND($C59="Hito",AL$8&gt;=$F59,AL$8&lt;=$F59+$G59-1),1,""))</f>
        <v/>
      </c>
      <c r="AM59" s="5" t="str">
        <f ca="1">IF(AND($C59="Objetivo",AM$8&gt;=$F59,AM$8&lt;=$F59+$G59-1),2,IF(AND($C59="Hito",AM$8&gt;=$F59,AM$8&lt;=$F59+$G59-1),1,""))</f>
        <v/>
      </c>
      <c r="AN59" s="5" t="str">
        <f ca="1">IF(AND($C59="Objetivo",AN$8&gt;=$F59,AN$8&lt;=$F59+$G59-1),2,IF(AND($C59="Hito",AN$8&gt;=$F59,AN$8&lt;=$F59+$G59-1),1,""))</f>
        <v/>
      </c>
      <c r="AO59" s="5" t="str">
        <f ca="1">IF(AND($C59="Objetivo",AO$8&gt;=$F59,AO$8&lt;=$F59+$G59-1),2,IF(AND($C59="Hito",AO$8&gt;=$F59,AO$8&lt;=$F59+$G59-1),1,""))</f>
        <v/>
      </c>
      <c r="AP59" s="5" t="str">
        <f ca="1">IF(AND($C59="Objetivo",AP$8&gt;=$F59,AP$8&lt;=$F59+$G59-1),2,IF(AND($C59="Hito",AP$8&gt;=$F59,AP$8&lt;=$F59+$G59-1),1,""))</f>
        <v/>
      </c>
      <c r="AQ59" s="5" t="str">
        <f ca="1">IF(AND($C59="Objetivo",AQ$8&gt;=$F59,AQ$8&lt;=$F59+$G59-1),2,IF(AND($C59="Hito",AQ$8&gt;=$F59,AQ$8&lt;=$F59+$G59-1),1,""))</f>
        <v/>
      </c>
      <c r="AR59" s="5" t="str">
        <f ca="1">IF(AND($C59="Objetivo",AR$8&gt;=$F59,AR$8&lt;=$F59+$G59-1),2,IF(AND($C59="Hito",AR$8&gt;=$F59,AR$8&lt;=$F59+$G59-1),1,""))</f>
        <v/>
      </c>
      <c r="AS59" s="5" t="str">
        <f ca="1">IF(AND($C59="Objetivo",AS$8&gt;=$F59,AS$8&lt;=$F59+$G59-1),2,IF(AND($C59="Hito",AS$8&gt;=$F59,AS$8&lt;=$F59+$G59-1),1,""))</f>
        <v/>
      </c>
      <c r="AT59" s="5" t="str">
        <f ca="1">IF(AND($C59="Objetivo",AT$8&gt;=$F59,AT$8&lt;=$F59+$G59-1),2,IF(AND($C59="Hito",AT$8&gt;=$F59,AT$8&lt;=$F59+$G59-1),1,""))</f>
        <v/>
      </c>
      <c r="AU59" s="5" t="str">
        <f ca="1">IF(AND($C59="Objetivo",AU$8&gt;=$F59,AU$8&lt;=$F59+$G59-1),2,IF(AND($C59="Hito",AU$8&gt;=$F59,AU$8&lt;=$F59+$G59-1),1,""))</f>
        <v/>
      </c>
      <c r="AV59" s="5" t="str">
        <f ca="1">IF(AND($C59="Objetivo",AV$8&gt;=$F59,AV$8&lt;=$F59+$G59-1),2,IF(AND($C59="Hito",AV$8&gt;=$F59,AV$8&lt;=$F59+$G59-1),1,""))</f>
        <v/>
      </c>
      <c r="AW59" s="5" t="str">
        <f ca="1">IF(AND($C59="Objetivo",AW$8&gt;=$F59,AW$8&lt;=$F59+$G59-1),2,IF(AND($C59="Hito",AW$8&gt;=$F59,AW$8&lt;=$F59+$G59-1),1,""))</f>
        <v/>
      </c>
      <c r="AX59" s="5" t="str">
        <f ca="1">IF(AND($C59="Objetivo",AX$8&gt;=$F59,AX$8&lt;=$F59+$G59-1),2,IF(AND($C59="Hito",AX$8&gt;=$F59,AX$8&lt;=$F59+$G59-1),1,""))</f>
        <v/>
      </c>
      <c r="AY59" s="5" t="str">
        <f ca="1">IF(AND($C59="Objetivo",AY$8&gt;=$F59,AY$8&lt;=$F59+$G59-1),2,IF(AND($C59="Hito",AY$8&gt;=$F59,AY$8&lt;=$F59+$G59-1),1,""))</f>
        <v/>
      </c>
      <c r="AZ59" s="5" t="str">
        <f ca="1">IF(AND($C59="Objetivo",AZ$8&gt;=$F59,AZ$8&lt;=$F59+$G59-1),2,IF(AND($C59="Hito",AZ$8&gt;=$F59,AZ$8&lt;=$F59+$G59-1),1,""))</f>
        <v/>
      </c>
      <c r="BA59" s="5" t="str">
        <f ca="1">IF(AND($C59="Objetivo",BA$8&gt;=$F59,BA$8&lt;=$F59+$G59-1),2,IF(AND($C59="Hito",BA$8&gt;=$F59,BA$8&lt;=$F59+$G59-1),1,""))</f>
        <v/>
      </c>
      <c r="BB59" s="5" t="str">
        <f ca="1">IF(AND($C59="Objetivo",BB$8&gt;=$F59,BB$8&lt;=$F59+$G59-1),2,IF(AND($C59="Hito",BB$8&gt;=$F59,BB$8&lt;=$F59+$G59-1),1,""))</f>
        <v/>
      </c>
      <c r="BC59" s="5" t="str">
        <f ca="1">IF(AND($C59="Objetivo",BC$8&gt;=$F59,BC$8&lt;=$F59+$G59-1),2,IF(AND($C59="Hito",BC$8&gt;=$F59,BC$8&lt;=$F59+$G59-1),1,""))</f>
        <v/>
      </c>
      <c r="BD59" s="5" t="str">
        <f ca="1">IF(AND($C59="Objetivo",BD$8&gt;=$F59,BD$8&lt;=$F59+$G59-1),2,IF(AND($C59="Hito",BD$8&gt;=$F59,BD$8&lt;=$F59+$G59-1),1,""))</f>
        <v/>
      </c>
      <c r="BE59" s="5" t="str">
        <f ca="1">IF(AND($C59="Objetivo",BE$8&gt;=$F59,BE$8&lt;=$F59+$G59-1),2,IF(AND($C59="Hito",BE$8&gt;=$F59,BE$8&lt;=$F59+$G59-1),1,""))</f>
        <v/>
      </c>
      <c r="BF59" s="5" t="str">
        <f ca="1">IF(AND($C59="Objetivo",BF$8&gt;=$F59,BF$8&lt;=$F59+$G59-1),2,IF(AND($C59="Hito",BF$8&gt;=$F59,BF$8&lt;=$F59+$G59-1),1,""))</f>
        <v/>
      </c>
      <c r="BG59" s="5" t="str">
        <f ca="1">IF(AND($C59="Objetivo",BG$8&gt;=$F59,BG$8&lt;=$F59+$G59-1),2,IF(AND($C59="Hito",BG$8&gt;=$F59,BG$8&lt;=$F59+$G59-1),1,""))</f>
        <v/>
      </c>
      <c r="BH59" s="5" t="str">
        <f ca="1">IF(AND($C59="Objetivo",BH$8&gt;=$F59,BH$8&lt;=$F59+$G59-1),2,IF(AND($C59="Hito",BH$8&gt;=$F59,BH$8&lt;=$F59+$G59-1),1,""))</f>
        <v/>
      </c>
      <c r="BI59" s="5" t="str">
        <f ca="1">IF(AND($C59="Objetivo",BI$8&gt;=$F59,BI$8&lt;=$F59+$G59-1),2,IF(AND($C59="Hito",BI$8&gt;=$F59,BI$8&lt;=$F59+$G59-1),1,""))</f>
        <v/>
      </c>
      <c r="BJ59" s="5" t="str">
        <f ca="1">IF(AND($C59="Objetivo",BJ$8&gt;=$F59,BJ$8&lt;=$F59+$G59-1),2,IF(AND($C59="Hito",BJ$8&gt;=$F59,BJ$8&lt;=$F59+$G59-1),1,""))</f>
        <v/>
      </c>
      <c r="BK59" s="5" t="str">
        <f ca="1">IF(AND($C59="Objetivo",BK$8&gt;=$F59,BK$8&lt;=$F59+$G59-1),2,IF(AND($C59="Hito",BK$8&gt;=$F59,BK$8&lt;=$F59+$G59-1),1,""))</f>
        <v/>
      </c>
      <c r="BL59" s="5" t="str">
        <f ca="1">IF(AND($C59="Objetivo",BL$8&gt;=$F59,BL$8&lt;=$F59+$G59-1),2,IF(AND($C59="Hito",BL$8&gt;=$F59,BL$8&lt;=$F59+$G59-1),1,""))</f>
        <v/>
      </c>
      <c r="BM59" s="5" t="str">
        <f ca="1">IF(AND($C59="Objetivo",BM$8&gt;=$F59,BM$8&lt;=$F59+$G59-1),2,IF(AND($C59="Hito",BM$8&gt;=$F59,BM$8&lt;=$F59+$G59-1),1,""))</f>
        <v/>
      </c>
      <c r="BN59" s="5" t="str">
        <f ca="1">IF(AND($C59="Objetivo",BN$8&gt;=$F59,BN$8&lt;=$F59+$G59-1),2,IF(AND($C59="Hito",BN$8&gt;=$F59,BN$8&lt;=$F59+$G59-1),1,""))</f>
        <v/>
      </c>
      <c r="BO59" s="5" t="str">
        <f ca="1">IF(AND($C59="Objetivo",BO$8&gt;=$F59,BO$8&lt;=$F59+$G59-1),2,IF(AND($C59="Hito",BO$8&gt;=$F59,BO$8&lt;=$F59+$G59-1),1,""))</f>
        <v/>
      </c>
      <c r="BP59" s="5" t="str">
        <f ca="1">IF(AND($C59="Objetivo",BP$8&gt;=$F59,BP$8&lt;=$F59+$G59-1),2,IF(AND($C59="Hito",BP$8&gt;=$F59,BP$8&lt;=$F59+$G59-1),1,""))</f>
        <v/>
      </c>
      <c r="BQ59" s="5" t="str">
        <f ca="1">IF(AND($C59="Objetivo",BQ$8&gt;=$F59,BQ$8&lt;=$F59+$G59-1),2,IF(AND($C59="Hito",BQ$8&gt;=$F59,BQ$8&lt;=$F59+$G59-1),1,""))</f>
        <v/>
      </c>
      <c r="BR59" s="5" t="str">
        <f ca="1">IF(AND($C59="Objetivo",BR$8&gt;=$F59,BR$8&lt;=$F59+$G59-1),2,IF(AND($C59="Hito",BR$8&gt;=$F59,BR$8&lt;=$F59+$G59-1),1,""))</f>
        <v/>
      </c>
      <c r="BS59" s="5" t="str">
        <f ca="1">IF(AND($C59="Objetivo",BS$8&gt;=$F59,BS$8&lt;=$F59+$G59-1),2,IF(AND($C59="Hito",BS$8&gt;=$F59,BS$8&lt;=$F59+$G59-1),1,""))</f>
        <v/>
      </c>
      <c r="BT59" s="5" t="str">
        <f ca="1">IF(AND($C59="Objetivo",BT$8&gt;=$F59,BT$8&lt;=$F59+$G59-1),2,IF(AND($C59="Hito",BT$8&gt;=$F59,BT$8&lt;=$F59+$G59-1),1,""))</f>
        <v/>
      </c>
      <c r="BU59" s="5" t="str">
        <f ca="1">IF(AND($C59="Objetivo",BU$8&gt;=$F59,BU$8&lt;=$F59+$G59-1),2,IF(AND($C59="Hito",BU$8&gt;=$F59,BU$8&lt;=$F59+$G59-1),1,""))</f>
        <v/>
      </c>
      <c r="BV59" s="5" t="str">
        <f ca="1">IF(AND($C59="Objetivo",BV$8&gt;=$F59,BV$8&lt;=$F59+$G59-1),2,IF(AND($C59="Hito",BV$8&gt;=$F59,BV$8&lt;=$F59+$G59-1),1,""))</f>
        <v/>
      </c>
      <c r="BW59" s="5" t="str">
        <f ca="1">IF(AND($C59="Objetivo",BW$8&gt;=$F59,BW$8&lt;=$F59+$G59-1),2,IF(AND($C59="Hito",BW$8&gt;=$F59,BW$8&lt;=$F59+$G59-1),1,""))</f>
        <v/>
      </c>
      <c r="BX59" s="5" t="str">
        <f ca="1">IF(AND($C59="Objetivo",BX$8&gt;=$F59,BX$8&lt;=$F59+$G59-1),2,IF(AND($C59="Hito",BX$8&gt;=$F59,BX$8&lt;=$F59+$G59-1),1,""))</f>
        <v/>
      </c>
      <c r="BY59" s="5" t="str">
        <f ca="1">IF(AND($C59="Objetivo",BY$8&gt;=$F59,BY$8&lt;=$F59+$G59-1),2,IF(AND($C59="Hito",BY$8&gt;=$F59,BY$8&lt;=$F59+$G59-1),1,""))</f>
        <v/>
      </c>
      <c r="BZ59" s="5" t="str">
        <f ca="1">IF(AND($C59="Objetivo",BZ$8&gt;=$F59,BZ$8&lt;=$F59+$G59-1),2,IF(AND($C59="Hito",BZ$8&gt;=$F59,BZ$8&lt;=$F59+$G59-1),1,""))</f>
        <v/>
      </c>
      <c r="CA59" s="5" t="str">
        <f ca="1">IF(AND($C59="Objetivo",CA$8&gt;=$F59,CA$8&lt;=$F59+$G59-1),2,IF(AND($C59="Hito",CA$8&gt;=$F59,CA$8&lt;=$F59+$G59-1),1,""))</f>
        <v/>
      </c>
      <c r="CB59" s="5" t="str">
        <f ca="1">IF(AND($C59="Objetivo",CB$8&gt;=$F59,CB$8&lt;=$F59+$G59-1),2,IF(AND($C59="Hito",CB$8&gt;=$F59,CB$8&lt;=$F59+$G59-1),1,""))</f>
        <v/>
      </c>
      <c r="CC59" s="5" t="str">
        <f ca="1">IF(AND($C59="Objetivo",CC$8&gt;=$F59,CC$8&lt;=$F59+$G59-1),2,IF(AND($C59="Hito",CC$8&gt;=$F59,CC$8&lt;=$F59+$G59-1),1,""))</f>
        <v/>
      </c>
      <c r="CD59" s="5" t="str">
        <f ca="1">IF(AND($C59="Objetivo",CD$8&gt;=$F59,CD$8&lt;=$F59+$G59-1),2,IF(AND($C59="Hito",CD$8&gt;=$F59,CD$8&lt;=$F59+$G59-1),1,""))</f>
        <v/>
      </c>
      <c r="CE59" s="5" t="str">
        <f ca="1">IF(AND($C59="Objetivo",CE$8&gt;=$F59,CE$8&lt;=$F59+$G59-1),2,IF(AND($C59="Hito",CE$8&gt;=$F59,CE$8&lt;=$F59+$G59-1),1,""))</f>
        <v/>
      </c>
      <c r="CF59" s="5" t="str">
        <f ca="1">IF(AND($C59="Objetivo",CF$8&gt;=$F59,CF$8&lt;=$F59+$G59-1),2,IF(AND($C59="Hito",CF$8&gt;=$F59,CF$8&lt;=$F59+$G59-1),1,""))</f>
        <v/>
      </c>
      <c r="CG59" s="5" t="str">
        <f ca="1">IF(AND($C59="Objetivo",CG$8&gt;=$F59,CG$8&lt;=$F59+$G59-1),2,IF(AND($C59="Hito",CG$8&gt;=$F59,CG$8&lt;=$F59+$G59-1),1,""))</f>
        <v/>
      </c>
      <c r="CH59" s="5" t="str">
        <f ca="1">IF(AND($C59="Objetivo",CH$8&gt;=$F59,CH$8&lt;=$F59+$G59-1),2,IF(AND($C59="Hito",CH$8&gt;=$F59,CH$8&lt;=$F59+$G59-1),1,""))</f>
        <v/>
      </c>
      <c r="CI59" s="5" t="str">
        <f ca="1">IF(AND($C59="Objetivo",CI$8&gt;=$F59,CI$8&lt;=$F59+$G59-1),2,IF(AND($C59="Hito",CI$8&gt;=$F59,CI$8&lt;=$F59+$G59-1),1,""))</f>
        <v/>
      </c>
      <c r="CJ59" s="5" t="str">
        <f ca="1">IF(AND($C59="Objetivo",CJ$8&gt;=$F59,CJ$8&lt;=$F59+$G59-1),2,IF(AND($C59="Hito",CJ$8&gt;=$F59,CJ$8&lt;=$F59+$G59-1),1,""))</f>
        <v/>
      </c>
      <c r="CK59" s="5" t="str">
        <f ca="1">IF(AND($C59="Objetivo",CK$8&gt;=$F59,CK$8&lt;=$F59+$G59-1),2,IF(AND($C59="Hito",CK$8&gt;=$F59,CK$8&lt;=$F59+$G59-1),1,""))</f>
        <v/>
      </c>
      <c r="CL59" s="5" t="str">
        <f ca="1">IF(AND($C59="Objetivo",CL$8&gt;=$F59,CL$8&lt;=$F59+$G59-1),2,IF(AND($C59="Hito",CL$8&gt;=$F59,CL$8&lt;=$F59+$G59-1),1,""))</f>
        <v/>
      </c>
      <c r="CM59" s="5" t="str">
        <f ca="1">IF(AND($C59="Objetivo",CM$8&gt;=$F59,CM$8&lt;=$F59+$G59-1),2,IF(AND($C59="Hito",CM$8&gt;=$F59,CM$8&lt;=$F59+$G59-1),1,""))</f>
        <v/>
      </c>
      <c r="CN59" s="5" t="str">
        <f ca="1">IF(AND($C59="Objetivo",CN$8&gt;=$F59,CN$8&lt;=$F59+$G59-1),2,IF(AND($C59="Hito",CN$8&gt;=$F59,CN$8&lt;=$F59+$G59-1),1,""))</f>
        <v/>
      </c>
      <c r="CO59" s="5" t="str">
        <f ca="1">IF(AND($C59="Objetivo",CO$8&gt;=$F59,CO$8&lt;=$F59+$G59-1),2,IF(AND($C59="Hito",CO$8&gt;=$F59,CO$8&lt;=$F59+$G59-1),1,""))</f>
        <v/>
      </c>
      <c r="CP59" s="5" t="str">
        <f ca="1">IF(AND($C59="Objetivo",CP$8&gt;=$F59,CP$8&lt;=$F59+$G59-1),2,IF(AND($C59="Hito",CP$8&gt;=$F59,CP$8&lt;=$F59+$G59-1),1,""))</f>
        <v/>
      </c>
      <c r="CQ59" s="5" t="str">
        <f ca="1">IF(AND($C59="Objetivo",CQ$8&gt;=$F59,CQ$8&lt;=$F59+$G59-1),2,IF(AND($C59="Hito",CQ$8&gt;=$F59,CQ$8&lt;=$F59+$G59-1),1,""))</f>
        <v/>
      </c>
      <c r="CR59" s="5" t="str">
        <f ca="1">IF(AND($C59="Objetivo",CR$8&gt;=$F59,CR$8&lt;=$F59+$G59-1),2,IF(AND($C59="Hito",CR$8&gt;=$F59,CR$8&lt;=$F59+$G59-1),1,""))</f>
        <v/>
      </c>
      <c r="CS59" s="5" t="str">
        <f ca="1">IF(AND($C59="Objetivo",CS$8&gt;=$F59,CS$8&lt;=$F59+$G59-1),2,IF(AND($C59="Hito",CS$8&gt;=$F59,CS$8&lt;=$F59+$G59-1),1,""))</f>
        <v/>
      </c>
      <c r="CT59" s="5" t="str">
        <f ca="1">IF(AND($C59="Objetivo",CT$8&gt;=$F59,CT$8&lt;=$F59+$G59-1),2,IF(AND($C59="Hito",CT$8&gt;=$F59,CT$8&lt;=$F59+$G59-1),1,""))</f>
        <v/>
      </c>
      <c r="CU59" s="5" t="str">
        <f ca="1">IF(AND($C59="Objetivo",CU$8&gt;=$F59,CU$8&lt;=$F59+$G59-1),2,IF(AND($C59="Hito",CU$8&gt;=$F59,CU$8&lt;=$F59+$G59-1),1,""))</f>
        <v/>
      </c>
      <c r="CV59" s="5" t="str">
        <f ca="1">IF(AND($C59="Objetivo",CV$8&gt;=$F59,CV$8&lt;=$F59+$G59-1),2,IF(AND($C59="Hito",CV$8&gt;=$F59,CV$8&lt;=$F59+$G59-1),1,""))</f>
        <v/>
      </c>
      <c r="CW59" s="5" t="str">
        <f ca="1">IF(AND($C59="Objetivo",CW$8&gt;=$F59,CW$8&lt;=$F59+$G59-1),2,IF(AND($C59="Hito",CW$8&gt;=$F59,CW$8&lt;=$F59+$G59-1),1,""))</f>
        <v/>
      </c>
      <c r="CX59" s="5" t="str">
        <f ca="1">IF(AND($C59="Objetivo",CX$8&gt;=$F59,CX$8&lt;=$F59+$G59-1),2,IF(AND($C59="Hito",CX$8&gt;=$F59,CX$8&lt;=$F59+$G59-1),1,""))</f>
        <v/>
      </c>
      <c r="CY59" s="5" t="str">
        <f ca="1">IF(AND($C59="Objetivo",CY$8&gt;=$F59,CY$8&lt;=$F59+$G59-1),2,IF(AND($C59="Hito",CY$8&gt;=$F59,CY$8&lt;=$F59+$G59-1),1,""))</f>
        <v/>
      </c>
      <c r="CZ59" s="5" t="str">
        <f ca="1">IF(AND($C59="Objetivo",CZ$8&gt;=$F59,CZ$8&lt;=$F59+$G59-1),2,IF(AND($C59="Hito",CZ$8&gt;=$F59,CZ$8&lt;=$F59+$G59-1),1,""))</f>
        <v/>
      </c>
      <c r="DA59" s="5" t="str">
        <f ca="1">IF(AND($C59="Objetivo",DA$8&gt;=$F59,DA$8&lt;=$F59+$G59-1),2,IF(AND($C59="Hito",DA$8&gt;=$F59,DA$8&lt;=$F59+$G59-1),1,""))</f>
        <v/>
      </c>
      <c r="DB59" s="5" t="str">
        <f ca="1">IF(AND($C59="Objetivo",DB$8&gt;=$F59,DB$8&lt;=$F59+$G59-1),2,IF(AND($C59="Hito",DB$8&gt;=$F59,DB$8&lt;=$F59+$G59-1),1,""))</f>
        <v/>
      </c>
    </row>
    <row r="60" spans="1:106" ht="30" customHeight="1" x14ac:dyDescent="0.25">
      <c r="B60" s="34" t="s">
        <v>83</v>
      </c>
      <c r="C60" s="34" t="s">
        <v>5</v>
      </c>
      <c r="D60" s="34" t="s">
        <v>35</v>
      </c>
      <c r="E60" s="50">
        <v>0.6</v>
      </c>
      <c r="F60" s="40">
        <v>45982</v>
      </c>
      <c r="G60" s="57">
        <v>3</v>
      </c>
      <c r="H60" s="29" t="s">
        <v>107</v>
      </c>
      <c r="I60" s="58" t="s">
        <v>110</v>
      </c>
      <c r="K60" s="5" t="str">
        <f ca="1">IF(AND($C60="Objetivo",K$8&gt;=$F60,K$8&lt;=$F60+$G60-1),2,IF(AND($C60="Hito",K$8&gt;=$F60,K$8&lt;=$F60+$G60-1),1,""))</f>
        <v/>
      </c>
      <c r="L60" s="5" t="str">
        <f ca="1">IF(AND($C60="Objetivo",L$8&gt;=$F60,L$8&lt;=$F60+$G60-1),2,IF(AND($C60="Hito",L$8&gt;=$F60,L$8&lt;=$F60+$G60-1),1,""))</f>
        <v/>
      </c>
      <c r="M60" s="5" t="str">
        <f ca="1">IF(AND($C60="Objetivo",M$8&gt;=$F60,M$8&lt;=$F60+$G60-1),2,IF(AND($C60="Hito",M$8&gt;=$F60,M$8&lt;=$F60+$G60-1),1,""))</f>
        <v/>
      </c>
      <c r="N60" s="5" t="str">
        <f ca="1">IF(AND($C60="Objetivo",N$8&gt;=$F60,N$8&lt;=$F60+$G60-1),2,IF(AND($C60="Hito",N$8&gt;=$F60,N$8&lt;=$F60+$G60-1),1,""))</f>
        <v/>
      </c>
      <c r="O60" s="5" t="str">
        <f ca="1">IF(AND($C60="Objetivo",O$8&gt;=$F60,O$8&lt;=$F60+$G60-1),2,IF(AND($C60="Hito",O$8&gt;=$F60,O$8&lt;=$F60+$G60-1),1,""))</f>
        <v/>
      </c>
      <c r="P60" s="5" t="str">
        <f ca="1">IF(AND($C60="Objetivo",P$8&gt;=$F60,P$8&lt;=$F60+$G60-1),2,IF(AND($C60="Hito",P$8&gt;=$F60,P$8&lt;=$F60+$G60-1),1,""))</f>
        <v/>
      </c>
      <c r="Q60" s="5" t="str">
        <f ca="1">IF(AND($C60="Objetivo",Q$8&gt;=$F60,Q$8&lt;=$F60+$G60-1),2,IF(AND($C60="Hito",Q$8&gt;=$F60,Q$8&lt;=$F60+$G60-1),1,""))</f>
        <v/>
      </c>
      <c r="R60" s="5" t="str">
        <f ca="1">IF(AND($C60="Objetivo",R$8&gt;=$F60,R$8&lt;=$F60+$G60-1),2,IF(AND($C60="Hito",R$8&gt;=$F60,R$8&lt;=$F60+$G60-1),1,""))</f>
        <v/>
      </c>
      <c r="S60" s="5" t="str">
        <f ca="1">IF(AND($C60="Objetivo",S$8&gt;=$F60,S$8&lt;=$F60+$G60-1),2,IF(AND($C60="Hito",S$8&gt;=$F60,S$8&lt;=$F60+$G60-1),1,""))</f>
        <v/>
      </c>
      <c r="T60" s="5" t="str">
        <f ca="1">IF(AND($C60="Objetivo",T$8&gt;=$F60,T$8&lt;=$F60+$G60-1),2,IF(AND($C60="Hito",T$8&gt;=$F60,T$8&lt;=$F60+$G60-1),1,""))</f>
        <v/>
      </c>
      <c r="U60" s="5" t="str">
        <f ca="1">IF(AND($C60="Objetivo",U$8&gt;=$F60,U$8&lt;=$F60+$G60-1),2,IF(AND($C60="Hito",U$8&gt;=$F60,U$8&lt;=$F60+$G60-1),1,""))</f>
        <v/>
      </c>
      <c r="V60" s="5" t="str">
        <f ca="1">IF(AND($C60="Objetivo",V$8&gt;=$F60,V$8&lt;=$F60+$G60-1),2,IF(AND($C60="Hito",V$8&gt;=$F60,V$8&lt;=$F60+$G60-1),1,""))</f>
        <v/>
      </c>
      <c r="W60" s="5" t="str">
        <f ca="1">IF(AND($C60="Objetivo",W$8&gt;=$F60,W$8&lt;=$F60+$G60-1),2,IF(AND($C60="Hito",W$8&gt;=$F60,W$8&lt;=$F60+$G60-1),1,""))</f>
        <v/>
      </c>
      <c r="X60" s="5" t="str">
        <f ca="1">IF(AND($C60="Objetivo",X$8&gt;=$F60,X$8&lt;=$F60+$G60-1),2,IF(AND($C60="Hito",X$8&gt;=$F60,X$8&lt;=$F60+$G60-1),1,""))</f>
        <v/>
      </c>
      <c r="Y60" s="5" t="str">
        <f ca="1">IF(AND($C60="Objetivo",Y$8&gt;=$F60,Y$8&lt;=$F60+$G60-1),2,IF(AND($C60="Hito",Y$8&gt;=$F60,Y$8&lt;=$F60+$G60-1),1,""))</f>
        <v/>
      </c>
      <c r="Z60" s="5" t="str">
        <f ca="1">IF(AND($C60="Objetivo",Z$8&gt;=$F60,Z$8&lt;=$F60+$G60-1),2,IF(AND($C60="Hito",Z$8&gt;=$F60,Z$8&lt;=$F60+$G60-1),1,""))</f>
        <v/>
      </c>
      <c r="AA60" s="5" t="str">
        <f ca="1">IF(AND($C60="Objetivo",AA$8&gt;=$F60,AA$8&lt;=$F60+$G60-1),2,IF(AND($C60="Hito",AA$8&gt;=$F60,AA$8&lt;=$F60+$G60-1),1,""))</f>
        <v/>
      </c>
      <c r="AB60" s="5" t="str">
        <f ca="1">IF(AND($C60="Objetivo",AB$8&gt;=$F60,AB$8&lt;=$F60+$G60-1),2,IF(AND($C60="Hito",AB$8&gt;=$F60,AB$8&lt;=$F60+$G60-1),1,""))</f>
        <v/>
      </c>
      <c r="AC60" s="5" t="str">
        <f ca="1">IF(AND($C60="Objetivo",AC$8&gt;=$F60,AC$8&lt;=$F60+$G60-1),2,IF(AND($C60="Hito",AC$8&gt;=$F60,AC$8&lt;=$F60+$G60-1),1,""))</f>
        <v/>
      </c>
      <c r="AD60" s="5" t="str">
        <f ca="1">IF(AND($C60="Objetivo",AD$8&gt;=$F60,AD$8&lt;=$F60+$G60-1),2,IF(AND($C60="Hito",AD$8&gt;=$F60,AD$8&lt;=$F60+$G60-1),1,""))</f>
        <v/>
      </c>
      <c r="AE60" s="5" t="str">
        <f ca="1">IF(AND($C60="Objetivo",AE$8&gt;=$F60,AE$8&lt;=$F60+$G60-1),2,IF(AND($C60="Hito",AE$8&gt;=$F60,AE$8&lt;=$F60+$G60-1),1,""))</f>
        <v/>
      </c>
      <c r="AF60" s="5" t="str">
        <f ca="1">IF(AND($C60="Objetivo",AF$8&gt;=$F60,AF$8&lt;=$F60+$G60-1),2,IF(AND($C60="Hito",AF$8&gt;=$F60,AF$8&lt;=$F60+$G60-1),1,""))</f>
        <v/>
      </c>
      <c r="AG60" s="5" t="str">
        <f ca="1">IF(AND($C60="Objetivo",AG$8&gt;=$F60,AG$8&lt;=$F60+$G60-1),2,IF(AND($C60="Hito",AG$8&gt;=$F60,AG$8&lt;=$F60+$G60-1),1,""))</f>
        <v/>
      </c>
      <c r="AH60" s="5" t="str">
        <f ca="1">IF(AND($C60="Objetivo",AH$8&gt;=$F60,AH$8&lt;=$F60+$G60-1),2,IF(AND($C60="Hito",AH$8&gt;=$F60,AH$8&lt;=$F60+$G60-1),1,""))</f>
        <v/>
      </c>
      <c r="AI60" s="5" t="str">
        <f ca="1">IF(AND($C60="Objetivo",AI$8&gt;=$F60,AI$8&lt;=$F60+$G60-1),2,IF(AND($C60="Hito",AI$8&gt;=$F60,AI$8&lt;=$F60+$G60-1),1,""))</f>
        <v/>
      </c>
      <c r="AJ60" s="5" t="str">
        <f ca="1">IF(AND($C60="Objetivo",AJ$8&gt;=$F60,AJ$8&lt;=$F60+$G60-1),2,IF(AND($C60="Hito",AJ$8&gt;=$F60,AJ$8&lt;=$F60+$G60-1),1,""))</f>
        <v/>
      </c>
      <c r="AK60" s="5" t="str">
        <f ca="1">IF(AND($C60="Objetivo",AK$8&gt;=$F60,AK$8&lt;=$F60+$G60-1),2,IF(AND($C60="Hito",AK$8&gt;=$F60,AK$8&lt;=$F60+$G60-1),1,""))</f>
        <v/>
      </c>
      <c r="AL60" s="5" t="str">
        <f ca="1">IF(AND($C60="Objetivo",AL$8&gt;=$F60,AL$8&lt;=$F60+$G60-1),2,IF(AND($C60="Hito",AL$8&gt;=$F60,AL$8&lt;=$F60+$G60-1),1,""))</f>
        <v/>
      </c>
      <c r="AM60" s="5" t="str">
        <f ca="1">IF(AND($C60="Objetivo",AM$8&gt;=$F60,AM$8&lt;=$F60+$G60-1),2,IF(AND($C60="Hito",AM$8&gt;=$F60,AM$8&lt;=$F60+$G60-1),1,""))</f>
        <v/>
      </c>
      <c r="AN60" s="5" t="str">
        <f ca="1">IF(AND($C60="Objetivo",AN$8&gt;=$F60,AN$8&lt;=$F60+$G60-1),2,IF(AND($C60="Hito",AN$8&gt;=$F60,AN$8&lt;=$F60+$G60-1),1,""))</f>
        <v/>
      </c>
      <c r="AO60" s="5" t="str">
        <f ca="1">IF(AND($C60="Objetivo",AO$8&gt;=$F60,AO$8&lt;=$F60+$G60-1),2,IF(AND($C60="Hito",AO$8&gt;=$F60,AO$8&lt;=$F60+$G60-1),1,""))</f>
        <v/>
      </c>
      <c r="AP60" s="5" t="str">
        <f ca="1">IF(AND($C60="Objetivo",AP$8&gt;=$F60,AP$8&lt;=$F60+$G60-1),2,IF(AND($C60="Hito",AP$8&gt;=$F60,AP$8&lt;=$F60+$G60-1),1,""))</f>
        <v/>
      </c>
      <c r="AQ60" s="5" t="str">
        <f ca="1">IF(AND($C60="Objetivo",AQ$8&gt;=$F60,AQ$8&lt;=$F60+$G60-1),2,IF(AND($C60="Hito",AQ$8&gt;=$F60,AQ$8&lt;=$F60+$G60-1),1,""))</f>
        <v/>
      </c>
      <c r="AR60" s="5" t="str">
        <f ca="1">IF(AND($C60="Objetivo",AR$8&gt;=$F60,AR$8&lt;=$F60+$G60-1),2,IF(AND($C60="Hito",AR$8&gt;=$F60,AR$8&lt;=$F60+$G60-1),1,""))</f>
        <v/>
      </c>
      <c r="AS60" s="5" t="str">
        <f ca="1">IF(AND($C60="Objetivo",AS$8&gt;=$F60,AS$8&lt;=$F60+$G60-1),2,IF(AND($C60="Hito",AS$8&gt;=$F60,AS$8&lt;=$F60+$G60-1),1,""))</f>
        <v/>
      </c>
      <c r="AT60" s="5" t="str">
        <f ca="1">IF(AND($C60="Objetivo",AT$8&gt;=$F60,AT$8&lt;=$F60+$G60-1),2,IF(AND($C60="Hito",AT$8&gt;=$F60,AT$8&lt;=$F60+$G60-1),1,""))</f>
        <v/>
      </c>
      <c r="AU60" s="5" t="str">
        <f ca="1">IF(AND($C60="Objetivo",AU$8&gt;=$F60,AU$8&lt;=$F60+$G60-1),2,IF(AND($C60="Hito",AU$8&gt;=$F60,AU$8&lt;=$F60+$G60-1),1,""))</f>
        <v/>
      </c>
      <c r="AV60" s="5" t="str">
        <f ca="1">IF(AND($C60="Objetivo",AV$8&gt;=$F60,AV$8&lt;=$F60+$G60-1),2,IF(AND($C60="Hito",AV$8&gt;=$F60,AV$8&lt;=$F60+$G60-1),1,""))</f>
        <v/>
      </c>
      <c r="AW60" s="5" t="str">
        <f ca="1">IF(AND($C60="Objetivo",AW$8&gt;=$F60,AW$8&lt;=$F60+$G60-1),2,IF(AND($C60="Hito",AW$8&gt;=$F60,AW$8&lt;=$F60+$G60-1),1,""))</f>
        <v/>
      </c>
      <c r="AX60" s="5" t="str">
        <f ca="1">IF(AND($C60="Objetivo",AX$8&gt;=$F60,AX$8&lt;=$F60+$G60-1),2,IF(AND($C60="Hito",AX$8&gt;=$F60,AX$8&lt;=$F60+$G60-1),1,""))</f>
        <v/>
      </c>
      <c r="AY60" s="5" t="str">
        <f ca="1">IF(AND($C60="Objetivo",AY$8&gt;=$F60,AY$8&lt;=$F60+$G60-1),2,IF(AND($C60="Hito",AY$8&gt;=$F60,AY$8&lt;=$F60+$G60-1),1,""))</f>
        <v/>
      </c>
      <c r="AZ60" s="5" t="str">
        <f ca="1">IF(AND($C60="Objetivo",AZ$8&gt;=$F60,AZ$8&lt;=$F60+$G60-1),2,IF(AND($C60="Hito",AZ$8&gt;=$F60,AZ$8&lt;=$F60+$G60-1),1,""))</f>
        <v/>
      </c>
      <c r="BA60" s="5" t="str">
        <f ca="1">IF(AND($C60="Objetivo",BA$8&gt;=$F60,BA$8&lt;=$F60+$G60-1),2,IF(AND($C60="Hito",BA$8&gt;=$F60,BA$8&lt;=$F60+$G60-1),1,""))</f>
        <v/>
      </c>
      <c r="BB60" s="5" t="str">
        <f ca="1">IF(AND($C60="Objetivo",BB$8&gt;=$F60,BB$8&lt;=$F60+$G60-1),2,IF(AND($C60="Hito",BB$8&gt;=$F60,BB$8&lt;=$F60+$G60-1),1,""))</f>
        <v/>
      </c>
      <c r="BC60" s="5" t="str">
        <f ca="1">IF(AND($C60="Objetivo",BC$8&gt;=$F60,BC$8&lt;=$F60+$G60-1),2,IF(AND($C60="Hito",BC$8&gt;=$F60,BC$8&lt;=$F60+$G60-1),1,""))</f>
        <v/>
      </c>
      <c r="BD60" s="5" t="str">
        <f ca="1">IF(AND($C60="Objetivo",BD$8&gt;=$F60,BD$8&lt;=$F60+$G60-1),2,IF(AND($C60="Hito",BD$8&gt;=$F60,BD$8&lt;=$F60+$G60-1),1,""))</f>
        <v/>
      </c>
      <c r="BE60" s="5" t="str">
        <f ca="1">IF(AND($C60="Objetivo",BE$8&gt;=$F60,BE$8&lt;=$F60+$G60-1),2,IF(AND($C60="Hito",BE$8&gt;=$F60,BE$8&lt;=$F60+$G60-1),1,""))</f>
        <v/>
      </c>
      <c r="BF60" s="5" t="str">
        <f ca="1">IF(AND($C60="Objetivo",BF$8&gt;=$F60,BF$8&lt;=$F60+$G60-1),2,IF(AND($C60="Hito",BF$8&gt;=$F60,BF$8&lt;=$F60+$G60-1),1,""))</f>
        <v/>
      </c>
      <c r="BG60" s="5" t="str">
        <f ca="1">IF(AND($C60="Objetivo",BG$8&gt;=$F60,BG$8&lt;=$F60+$G60-1),2,IF(AND($C60="Hito",BG$8&gt;=$F60,BG$8&lt;=$F60+$G60-1),1,""))</f>
        <v/>
      </c>
      <c r="BH60" s="5" t="str">
        <f ca="1">IF(AND($C60="Objetivo",BH$8&gt;=$F60,BH$8&lt;=$F60+$G60-1),2,IF(AND($C60="Hito",BH$8&gt;=$F60,BH$8&lt;=$F60+$G60-1),1,""))</f>
        <v/>
      </c>
      <c r="BI60" s="5" t="str">
        <f ca="1">IF(AND($C60="Objetivo",BI$8&gt;=$F60,BI$8&lt;=$F60+$G60-1),2,IF(AND($C60="Hito",BI$8&gt;=$F60,BI$8&lt;=$F60+$G60-1),1,""))</f>
        <v/>
      </c>
      <c r="BJ60" s="5" t="str">
        <f ca="1">IF(AND($C60="Objetivo",BJ$8&gt;=$F60,BJ$8&lt;=$F60+$G60-1),2,IF(AND($C60="Hito",BJ$8&gt;=$F60,BJ$8&lt;=$F60+$G60-1),1,""))</f>
        <v/>
      </c>
      <c r="BK60" s="5" t="str">
        <f ca="1">IF(AND($C60="Objetivo",BK$8&gt;=$F60,BK$8&lt;=$F60+$G60-1),2,IF(AND($C60="Hito",BK$8&gt;=$F60,BK$8&lt;=$F60+$G60-1),1,""))</f>
        <v/>
      </c>
      <c r="BL60" s="5" t="str">
        <f ca="1">IF(AND($C60="Objetivo",BL$8&gt;=$F60,BL$8&lt;=$F60+$G60-1),2,IF(AND($C60="Hito",BL$8&gt;=$F60,BL$8&lt;=$F60+$G60-1),1,""))</f>
        <v/>
      </c>
      <c r="BM60" s="5" t="str">
        <f ca="1">IF(AND($C60="Objetivo",BM$8&gt;=$F60,BM$8&lt;=$F60+$G60-1),2,IF(AND($C60="Hito",BM$8&gt;=$F60,BM$8&lt;=$F60+$G60-1),1,""))</f>
        <v/>
      </c>
      <c r="BN60" s="5" t="str">
        <f ca="1">IF(AND($C60="Objetivo",BN$8&gt;=$F60,BN$8&lt;=$F60+$G60-1),2,IF(AND($C60="Hito",BN$8&gt;=$F60,BN$8&lt;=$F60+$G60-1),1,""))</f>
        <v/>
      </c>
      <c r="BO60" s="5" t="str">
        <f ca="1">IF(AND($C60="Objetivo",BO$8&gt;=$F60,BO$8&lt;=$F60+$G60-1),2,IF(AND($C60="Hito",BO$8&gt;=$F60,BO$8&lt;=$F60+$G60-1),1,""))</f>
        <v/>
      </c>
      <c r="BP60" s="5" t="str">
        <f ca="1">IF(AND($C60="Objetivo",BP$8&gt;=$F60,BP$8&lt;=$F60+$G60-1),2,IF(AND($C60="Hito",BP$8&gt;=$F60,BP$8&lt;=$F60+$G60-1),1,""))</f>
        <v/>
      </c>
      <c r="BQ60" s="5" t="str">
        <f ca="1">IF(AND($C60="Objetivo",BQ$8&gt;=$F60,BQ$8&lt;=$F60+$G60-1),2,IF(AND($C60="Hito",BQ$8&gt;=$F60,BQ$8&lt;=$F60+$G60-1),1,""))</f>
        <v/>
      </c>
      <c r="BR60" s="5" t="str">
        <f ca="1">IF(AND($C60="Objetivo",BR$8&gt;=$F60,BR$8&lt;=$F60+$G60-1),2,IF(AND($C60="Hito",BR$8&gt;=$F60,BR$8&lt;=$F60+$G60-1),1,""))</f>
        <v/>
      </c>
      <c r="BS60" s="5" t="str">
        <f ca="1">IF(AND($C60="Objetivo",BS$8&gt;=$F60,BS$8&lt;=$F60+$G60-1),2,IF(AND($C60="Hito",BS$8&gt;=$F60,BS$8&lt;=$F60+$G60-1),1,""))</f>
        <v/>
      </c>
      <c r="BT60" s="5" t="str">
        <f ca="1">IF(AND($C60="Objetivo",BT$8&gt;=$F60,BT$8&lt;=$F60+$G60-1),2,IF(AND($C60="Hito",BT$8&gt;=$F60,BT$8&lt;=$F60+$G60-1),1,""))</f>
        <v/>
      </c>
      <c r="BU60" s="5" t="str">
        <f ca="1">IF(AND($C60="Objetivo",BU$8&gt;=$F60,BU$8&lt;=$F60+$G60-1),2,IF(AND($C60="Hito",BU$8&gt;=$F60,BU$8&lt;=$F60+$G60-1),1,""))</f>
        <v/>
      </c>
      <c r="BV60" s="5" t="str">
        <f ca="1">IF(AND($C60="Objetivo",BV$8&gt;=$F60,BV$8&lt;=$F60+$G60-1),2,IF(AND($C60="Hito",BV$8&gt;=$F60,BV$8&lt;=$F60+$G60-1),1,""))</f>
        <v/>
      </c>
      <c r="BW60" s="5" t="str">
        <f ca="1">IF(AND($C60="Objetivo",BW$8&gt;=$F60,BW$8&lt;=$F60+$G60-1),2,IF(AND($C60="Hito",BW$8&gt;=$F60,BW$8&lt;=$F60+$G60-1),1,""))</f>
        <v/>
      </c>
      <c r="BX60" s="5" t="str">
        <f ca="1">IF(AND($C60="Objetivo",BX$8&gt;=$F60,BX$8&lt;=$F60+$G60-1),2,IF(AND($C60="Hito",BX$8&gt;=$F60,BX$8&lt;=$F60+$G60-1),1,""))</f>
        <v/>
      </c>
      <c r="BY60" s="5" t="str">
        <f ca="1">IF(AND($C60="Objetivo",BY$8&gt;=$F60,BY$8&lt;=$F60+$G60-1),2,IF(AND($C60="Hito",BY$8&gt;=$F60,BY$8&lt;=$F60+$G60-1),1,""))</f>
        <v/>
      </c>
      <c r="BZ60" s="5" t="str">
        <f ca="1">IF(AND($C60="Objetivo",BZ$8&gt;=$F60,BZ$8&lt;=$F60+$G60-1),2,IF(AND($C60="Hito",BZ$8&gt;=$F60,BZ$8&lt;=$F60+$G60-1),1,""))</f>
        <v/>
      </c>
      <c r="CA60" s="5" t="str">
        <f ca="1">IF(AND($C60="Objetivo",CA$8&gt;=$F60,CA$8&lt;=$F60+$G60-1),2,IF(AND($C60="Hito",CA$8&gt;=$F60,CA$8&lt;=$F60+$G60-1),1,""))</f>
        <v/>
      </c>
      <c r="CB60" s="5" t="str">
        <f ca="1">IF(AND($C60="Objetivo",CB$8&gt;=$F60,CB$8&lt;=$F60+$G60-1),2,IF(AND($C60="Hito",CB$8&gt;=$F60,CB$8&lt;=$F60+$G60-1),1,""))</f>
        <v/>
      </c>
      <c r="CC60" s="5" t="str">
        <f ca="1">IF(AND($C60="Objetivo",CC$8&gt;=$F60,CC$8&lt;=$F60+$G60-1),2,IF(AND($C60="Hito",CC$8&gt;=$F60,CC$8&lt;=$F60+$G60-1),1,""))</f>
        <v/>
      </c>
      <c r="CD60" s="5" t="str">
        <f ca="1">IF(AND($C60="Objetivo",CD$8&gt;=$F60,CD$8&lt;=$F60+$G60-1),2,IF(AND($C60="Hito",CD$8&gt;=$F60,CD$8&lt;=$F60+$G60-1),1,""))</f>
        <v/>
      </c>
      <c r="CE60" s="5" t="str">
        <f ca="1">IF(AND($C60="Objetivo",CE$8&gt;=$F60,CE$8&lt;=$F60+$G60-1),2,IF(AND($C60="Hito",CE$8&gt;=$F60,CE$8&lt;=$F60+$G60-1),1,""))</f>
        <v/>
      </c>
      <c r="CF60" s="5" t="str">
        <f ca="1">IF(AND($C60="Objetivo",CF$8&gt;=$F60,CF$8&lt;=$F60+$G60-1),2,IF(AND($C60="Hito",CF$8&gt;=$F60,CF$8&lt;=$F60+$G60-1),1,""))</f>
        <v/>
      </c>
      <c r="CG60" s="5" t="str">
        <f ca="1">IF(AND($C60="Objetivo",CG$8&gt;=$F60,CG$8&lt;=$F60+$G60-1),2,IF(AND($C60="Hito",CG$8&gt;=$F60,CG$8&lt;=$F60+$G60-1),1,""))</f>
        <v/>
      </c>
      <c r="CH60" s="5" t="str">
        <f ca="1">IF(AND($C60="Objetivo",CH$8&gt;=$F60,CH$8&lt;=$F60+$G60-1),2,IF(AND($C60="Hito",CH$8&gt;=$F60,CH$8&lt;=$F60+$G60-1),1,""))</f>
        <v/>
      </c>
      <c r="CI60" s="5" t="str">
        <f ca="1">IF(AND($C60="Objetivo",CI$8&gt;=$F60,CI$8&lt;=$F60+$G60-1),2,IF(AND($C60="Hito",CI$8&gt;=$F60,CI$8&lt;=$F60+$G60-1),1,""))</f>
        <v/>
      </c>
      <c r="CJ60" s="5" t="str">
        <f ca="1">IF(AND($C60="Objetivo",CJ$8&gt;=$F60,CJ$8&lt;=$F60+$G60-1),2,IF(AND($C60="Hito",CJ$8&gt;=$F60,CJ$8&lt;=$F60+$G60-1),1,""))</f>
        <v/>
      </c>
      <c r="CK60" s="5" t="str">
        <f ca="1">IF(AND($C60="Objetivo",CK$8&gt;=$F60,CK$8&lt;=$F60+$G60-1),2,IF(AND($C60="Hito",CK$8&gt;=$F60,CK$8&lt;=$F60+$G60-1),1,""))</f>
        <v/>
      </c>
      <c r="CL60" s="5" t="str">
        <f ca="1">IF(AND($C60="Objetivo",CL$8&gt;=$F60,CL$8&lt;=$F60+$G60-1),2,IF(AND($C60="Hito",CL$8&gt;=$F60,CL$8&lt;=$F60+$G60-1),1,""))</f>
        <v/>
      </c>
      <c r="CM60" s="5" t="str">
        <f ca="1">IF(AND($C60="Objetivo",CM$8&gt;=$F60,CM$8&lt;=$F60+$G60-1),2,IF(AND($C60="Hito",CM$8&gt;=$F60,CM$8&lt;=$F60+$G60-1),1,""))</f>
        <v/>
      </c>
      <c r="CN60" s="5" t="str">
        <f ca="1">IF(AND($C60="Objetivo",CN$8&gt;=$F60,CN$8&lt;=$F60+$G60-1),2,IF(AND($C60="Hito",CN$8&gt;=$F60,CN$8&lt;=$F60+$G60-1),1,""))</f>
        <v/>
      </c>
      <c r="CO60" s="5" t="str">
        <f ca="1">IF(AND($C60="Objetivo",CO$8&gt;=$F60,CO$8&lt;=$F60+$G60-1),2,IF(AND($C60="Hito",CO$8&gt;=$F60,CO$8&lt;=$F60+$G60-1),1,""))</f>
        <v/>
      </c>
      <c r="CP60" s="5" t="str">
        <f ca="1">IF(AND($C60="Objetivo",CP$8&gt;=$F60,CP$8&lt;=$F60+$G60-1),2,IF(AND($C60="Hito",CP$8&gt;=$F60,CP$8&lt;=$F60+$G60-1),1,""))</f>
        <v/>
      </c>
      <c r="CQ60" s="5" t="str">
        <f ca="1">IF(AND($C60="Objetivo",CQ$8&gt;=$F60,CQ$8&lt;=$F60+$G60-1),2,IF(AND($C60="Hito",CQ$8&gt;=$F60,CQ$8&lt;=$F60+$G60-1),1,""))</f>
        <v/>
      </c>
      <c r="CR60" s="5" t="str">
        <f ca="1">IF(AND($C60="Objetivo",CR$8&gt;=$F60,CR$8&lt;=$F60+$G60-1),2,IF(AND($C60="Hito",CR$8&gt;=$F60,CR$8&lt;=$F60+$G60-1),1,""))</f>
        <v/>
      </c>
      <c r="CS60" s="5" t="str">
        <f ca="1">IF(AND($C60="Objetivo",CS$8&gt;=$F60,CS$8&lt;=$F60+$G60-1),2,IF(AND($C60="Hito",CS$8&gt;=$F60,CS$8&lt;=$F60+$G60-1),1,""))</f>
        <v/>
      </c>
      <c r="CT60" s="5" t="str">
        <f ca="1">IF(AND($C60="Objetivo",CT$8&gt;=$F60,CT$8&lt;=$F60+$G60-1),2,IF(AND($C60="Hito",CT$8&gt;=$F60,CT$8&lt;=$F60+$G60-1),1,""))</f>
        <v/>
      </c>
      <c r="CU60" s="5" t="str">
        <f ca="1">IF(AND($C60="Objetivo",CU$8&gt;=$F60,CU$8&lt;=$F60+$G60-1),2,IF(AND($C60="Hito",CU$8&gt;=$F60,CU$8&lt;=$F60+$G60-1),1,""))</f>
        <v/>
      </c>
      <c r="CV60" s="5" t="str">
        <f ca="1">IF(AND($C60="Objetivo",CV$8&gt;=$F60,CV$8&lt;=$F60+$G60-1),2,IF(AND($C60="Hito",CV$8&gt;=$F60,CV$8&lt;=$F60+$G60-1),1,""))</f>
        <v/>
      </c>
      <c r="CW60" s="5" t="str">
        <f ca="1">IF(AND($C60="Objetivo",CW$8&gt;=$F60,CW$8&lt;=$F60+$G60-1),2,IF(AND($C60="Hito",CW$8&gt;=$F60,CW$8&lt;=$F60+$G60-1),1,""))</f>
        <v/>
      </c>
      <c r="CX60" s="5" t="str">
        <f ca="1">IF(AND($C60="Objetivo",CX$8&gt;=$F60,CX$8&lt;=$F60+$G60-1),2,IF(AND($C60="Hito",CX$8&gt;=$F60,CX$8&lt;=$F60+$G60-1),1,""))</f>
        <v/>
      </c>
      <c r="CY60" s="5" t="str">
        <f ca="1">IF(AND($C60="Objetivo",CY$8&gt;=$F60,CY$8&lt;=$F60+$G60-1),2,IF(AND($C60="Hito",CY$8&gt;=$F60,CY$8&lt;=$F60+$G60-1),1,""))</f>
        <v/>
      </c>
      <c r="CZ60" s="5" t="str">
        <f ca="1">IF(AND($C60="Objetivo",CZ$8&gt;=$F60,CZ$8&lt;=$F60+$G60-1),2,IF(AND($C60="Hito",CZ$8&gt;=$F60,CZ$8&lt;=$F60+$G60-1),1,""))</f>
        <v/>
      </c>
      <c r="DA60" s="5" t="str">
        <f ca="1">IF(AND($C60="Objetivo",DA$8&gt;=$F60,DA$8&lt;=$F60+$G60-1),2,IF(AND($C60="Hito",DA$8&gt;=$F60,DA$8&lt;=$F60+$G60-1),1,""))</f>
        <v/>
      </c>
      <c r="DB60" s="5" t="str">
        <f ca="1">IF(AND($C60="Objetivo",DB$8&gt;=$F60,DB$8&lt;=$F60+$G60-1),2,IF(AND($C60="Hito",DB$8&gt;=$F60,DB$8&lt;=$F60+$G60-1),1,""))</f>
        <v/>
      </c>
    </row>
    <row r="61" spans="1:106" ht="30" customHeight="1" x14ac:dyDescent="0.25">
      <c r="B61" s="41" t="s">
        <v>84</v>
      </c>
      <c r="C61" s="34" t="s">
        <v>5</v>
      </c>
      <c r="D61" s="34" t="s">
        <v>35</v>
      </c>
      <c r="E61" s="50">
        <v>0</v>
      </c>
      <c r="F61" s="40">
        <v>45985</v>
      </c>
      <c r="G61" s="57">
        <v>1</v>
      </c>
      <c r="H61" s="29" t="s">
        <v>108</v>
      </c>
      <c r="I61" s="58" t="s">
        <v>111</v>
      </c>
      <c r="K61" s="5" t="str">
        <f ca="1">IF(AND($C61="Objetivo",K$8&gt;=$F61,K$8&lt;=$F61+$G61-1),2,IF(AND($C61="Hito",K$8&gt;=$F61,K$8&lt;=$F61+$G61-1),1,""))</f>
        <v/>
      </c>
      <c r="L61" s="5" t="str">
        <f ca="1">IF(AND($C61="Objetivo",L$8&gt;=$F61,L$8&lt;=$F61+$G61-1),2,IF(AND($C61="Hito",L$8&gt;=$F61,L$8&lt;=$F61+$G61-1),1,""))</f>
        <v/>
      </c>
      <c r="M61" s="5" t="str">
        <f ca="1">IF(AND($C61="Objetivo",M$8&gt;=$F61,M$8&lt;=$F61+$G61-1),2,IF(AND($C61="Hito",M$8&gt;=$F61,M$8&lt;=$F61+$G61-1),1,""))</f>
        <v/>
      </c>
      <c r="N61" s="5" t="str">
        <f ca="1">IF(AND($C61="Objetivo",N$8&gt;=$F61,N$8&lt;=$F61+$G61-1),2,IF(AND($C61="Hito",N$8&gt;=$F61,N$8&lt;=$F61+$G61-1),1,""))</f>
        <v/>
      </c>
      <c r="O61" s="5" t="str">
        <f ca="1">IF(AND($C61="Objetivo",O$8&gt;=$F61,O$8&lt;=$F61+$G61-1),2,IF(AND($C61="Hito",O$8&gt;=$F61,O$8&lt;=$F61+$G61-1),1,""))</f>
        <v/>
      </c>
      <c r="P61" s="5" t="str">
        <f ca="1">IF(AND($C61="Objetivo",P$8&gt;=$F61,P$8&lt;=$F61+$G61-1),2,IF(AND($C61="Hito",P$8&gt;=$F61,P$8&lt;=$F61+$G61-1),1,""))</f>
        <v/>
      </c>
      <c r="Q61" s="5" t="str">
        <f ca="1">IF(AND($C61="Objetivo",Q$8&gt;=$F61,Q$8&lt;=$F61+$G61-1),2,IF(AND($C61="Hito",Q$8&gt;=$F61,Q$8&lt;=$F61+$G61-1),1,""))</f>
        <v/>
      </c>
      <c r="R61" s="5" t="str">
        <f ca="1">IF(AND($C61="Objetivo",R$8&gt;=$F61,R$8&lt;=$F61+$G61-1),2,IF(AND($C61="Hito",R$8&gt;=$F61,R$8&lt;=$F61+$G61-1),1,""))</f>
        <v/>
      </c>
      <c r="S61" s="5" t="str">
        <f ca="1">IF(AND($C61="Objetivo",S$8&gt;=$F61,S$8&lt;=$F61+$G61-1),2,IF(AND($C61="Hito",S$8&gt;=$F61,S$8&lt;=$F61+$G61-1),1,""))</f>
        <v/>
      </c>
      <c r="T61" s="5" t="str">
        <f ca="1">IF(AND($C61="Objetivo",T$8&gt;=$F61,T$8&lt;=$F61+$G61-1),2,IF(AND($C61="Hito",T$8&gt;=$F61,T$8&lt;=$F61+$G61-1),1,""))</f>
        <v/>
      </c>
      <c r="U61" s="5" t="str">
        <f ca="1">IF(AND($C61="Objetivo",U$8&gt;=$F61,U$8&lt;=$F61+$G61-1),2,IF(AND($C61="Hito",U$8&gt;=$F61,U$8&lt;=$F61+$G61-1),1,""))</f>
        <v/>
      </c>
      <c r="V61" s="5" t="str">
        <f ca="1">IF(AND($C61="Objetivo",V$8&gt;=$F61,V$8&lt;=$F61+$G61-1),2,IF(AND($C61="Hito",V$8&gt;=$F61,V$8&lt;=$F61+$G61-1),1,""))</f>
        <v/>
      </c>
      <c r="W61" s="5" t="str">
        <f ca="1">IF(AND($C61="Objetivo",W$8&gt;=$F61,W$8&lt;=$F61+$G61-1),2,IF(AND($C61="Hito",W$8&gt;=$F61,W$8&lt;=$F61+$G61-1),1,""))</f>
        <v/>
      </c>
      <c r="X61" s="5" t="str">
        <f ca="1">IF(AND($C61="Objetivo",X$8&gt;=$F61,X$8&lt;=$F61+$G61-1),2,IF(AND($C61="Hito",X$8&gt;=$F61,X$8&lt;=$F61+$G61-1),1,""))</f>
        <v/>
      </c>
      <c r="Y61" s="5" t="str">
        <f ca="1">IF(AND($C61="Objetivo",Y$8&gt;=$F61,Y$8&lt;=$F61+$G61-1),2,IF(AND($C61="Hito",Y$8&gt;=$F61,Y$8&lt;=$F61+$G61-1),1,""))</f>
        <v/>
      </c>
      <c r="Z61" s="5" t="str">
        <f ca="1">IF(AND($C61="Objetivo",Z$8&gt;=$F61,Z$8&lt;=$F61+$G61-1),2,IF(AND($C61="Hito",Z$8&gt;=$F61,Z$8&lt;=$F61+$G61-1),1,""))</f>
        <v/>
      </c>
      <c r="AA61" s="5" t="str">
        <f ca="1">IF(AND($C61="Objetivo",AA$8&gt;=$F61,AA$8&lt;=$F61+$G61-1),2,IF(AND($C61="Hito",AA$8&gt;=$F61,AA$8&lt;=$F61+$G61-1),1,""))</f>
        <v/>
      </c>
      <c r="AB61" s="5" t="str">
        <f ca="1">IF(AND($C61="Objetivo",AB$8&gt;=$F61,AB$8&lt;=$F61+$G61-1),2,IF(AND($C61="Hito",AB$8&gt;=$F61,AB$8&lt;=$F61+$G61-1),1,""))</f>
        <v/>
      </c>
      <c r="AC61" s="5" t="str">
        <f ca="1">IF(AND($C61="Objetivo",AC$8&gt;=$F61,AC$8&lt;=$F61+$G61-1),2,IF(AND($C61="Hito",AC$8&gt;=$F61,AC$8&lt;=$F61+$G61-1),1,""))</f>
        <v/>
      </c>
      <c r="AD61" s="5" t="str">
        <f ca="1">IF(AND($C61="Objetivo",AD$8&gt;=$F61,AD$8&lt;=$F61+$G61-1),2,IF(AND($C61="Hito",AD$8&gt;=$F61,AD$8&lt;=$F61+$G61-1),1,""))</f>
        <v/>
      </c>
      <c r="AE61" s="5" t="str">
        <f ca="1">IF(AND($C61="Objetivo",AE$8&gt;=$F61,AE$8&lt;=$F61+$G61-1),2,IF(AND($C61="Hito",AE$8&gt;=$F61,AE$8&lt;=$F61+$G61-1),1,""))</f>
        <v/>
      </c>
      <c r="AF61" s="5" t="str">
        <f ca="1">IF(AND($C61="Objetivo",AF$8&gt;=$F61,AF$8&lt;=$F61+$G61-1),2,IF(AND($C61="Hito",AF$8&gt;=$F61,AF$8&lt;=$F61+$G61-1),1,""))</f>
        <v/>
      </c>
      <c r="AG61" s="5" t="str">
        <f ca="1">IF(AND($C61="Objetivo",AG$8&gt;=$F61,AG$8&lt;=$F61+$G61-1),2,IF(AND($C61="Hito",AG$8&gt;=$F61,AG$8&lt;=$F61+$G61-1),1,""))</f>
        <v/>
      </c>
      <c r="AH61" s="5" t="str">
        <f ca="1">IF(AND($C61="Objetivo",AH$8&gt;=$F61,AH$8&lt;=$F61+$G61-1),2,IF(AND($C61="Hito",AH$8&gt;=$F61,AH$8&lt;=$F61+$G61-1),1,""))</f>
        <v/>
      </c>
      <c r="AI61" s="5" t="str">
        <f ca="1">IF(AND($C61="Objetivo",AI$8&gt;=$F61,AI$8&lt;=$F61+$G61-1),2,IF(AND($C61="Hito",AI$8&gt;=$F61,AI$8&lt;=$F61+$G61-1),1,""))</f>
        <v/>
      </c>
      <c r="AJ61" s="5" t="str">
        <f ca="1">IF(AND($C61="Objetivo",AJ$8&gt;=$F61,AJ$8&lt;=$F61+$G61-1),2,IF(AND($C61="Hito",AJ$8&gt;=$F61,AJ$8&lt;=$F61+$G61-1),1,""))</f>
        <v/>
      </c>
      <c r="AK61" s="5" t="str">
        <f ca="1">IF(AND($C61="Objetivo",AK$8&gt;=$F61,AK$8&lt;=$F61+$G61-1),2,IF(AND($C61="Hito",AK$8&gt;=$F61,AK$8&lt;=$F61+$G61-1),1,""))</f>
        <v/>
      </c>
      <c r="AL61" s="5" t="str">
        <f ca="1">IF(AND($C61="Objetivo",AL$8&gt;=$F61,AL$8&lt;=$F61+$G61-1),2,IF(AND($C61="Hito",AL$8&gt;=$F61,AL$8&lt;=$F61+$G61-1),1,""))</f>
        <v/>
      </c>
      <c r="AM61" s="5" t="str">
        <f ca="1">IF(AND($C61="Objetivo",AM$8&gt;=$F61,AM$8&lt;=$F61+$G61-1),2,IF(AND($C61="Hito",AM$8&gt;=$F61,AM$8&lt;=$F61+$G61-1),1,""))</f>
        <v/>
      </c>
      <c r="AN61" s="5" t="str">
        <f ca="1">IF(AND($C61="Objetivo",AN$8&gt;=$F61,AN$8&lt;=$F61+$G61-1),2,IF(AND($C61="Hito",AN$8&gt;=$F61,AN$8&lt;=$F61+$G61-1),1,""))</f>
        <v/>
      </c>
      <c r="AO61" s="5" t="str">
        <f ca="1">IF(AND($C61="Objetivo",AO$8&gt;=$F61,AO$8&lt;=$F61+$G61-1),2,IF(AND($C61="Hito",AO$8&gt;=$F61,AO$8&lt;=$F61+$G61-1),1,""))</f>
        <v/>
      </c>
      <c r="AP61" s="5" t="str">
        <f ca="1">IF(AND($C61="Objetivo",AP$8&gt;=$F61,AP$8&lt;=$F61+$G61-1),2,IF(AND($C61="Hito",AP$8&gt;=$F61,AP$8&lt;=$F61+$G61-1),1,""))</f>
        <v/>
      </c>
      <c r="AQ61" s="5" t="str">
        <f ca="1">IF(AND($C61="Objetivo",AQ$8&gt;=$F61,AQ$8&lt;=$F61+$G61-1),2,IF(AND($C61="Hito",AQ$8&gt;=$F61,AQ$8&lt;=$F61+$G61-1),1,""))</f>
        <v/>
      </c>
      <c r="AR61" s="5" t="str">
        <f ca="1">IF(AND($C61="Objetivo",AR$8&gt;=$F61,AR$8&lt;=$F61+$G61-1),2,IF(AND($C61="Hito",AR$8&gt;=$F61,AR$8&lt;=$F61+$G61-1),1,""))</f>
        <v/>
      </c>
      <c r="AS61" s="5" t="str">
        <f ca="1">IF(AND($C61="Objetivo",AS$8&gt;=$F61,AS$8&lt;=$F61+$G61-1),2,IF(AND($C61="Hito",AS$8&gt;=$F61,AS$8&lt;=$F61+$G61-1),1,""))</f>
        <v/>
      </c>
      <c r="AT61" s="5" t="str">
        <f ca="1">IF(AND($C61="Objetivo",AT$8&gt;=$F61,AT$8&lt;=$F61+$G61-1),2,IF(AND($C61="Hito",AT$8&gt;=$F61,AT$8&lt;=$F61+$G61-1),1,""))</f>
        <v/>
      </c>
      <c r="AU61" s="5" t="str">
        <f ca="1">IF(AND($C61="Objetivo",AU$8&gt;=$F61,AU$8&lt;=$F61+$G61-1),2,IF(AND($C61="Hito",AU$8&gt;=$F61,AU$8&lt;=$F61+$G61-1),1,""))</f>
        <v/>
      </c>
      <c r="AV61" s="5" t="str">
        <f ca="1">IF(AND($C61="Objetivo",AV$8&gt;=$F61,AV$8&lt;=$F61+$G61-1),2,IF(AND($C61="Hito",AV$8&gt;=$F61,AV$8&lt;=$F61+$G61-1),1,""))</f>
        <v/>
      </c>
      <c r="AW61" s="5" t="str">
        <f ca="1">IF(AND($C61="Objetivo",AW$8&gt;=$F61,AW$8&lt;=$F61+$G61-1),2,IF(AND($C61="Hito",AW$8&gt;=$F61,AW$8&lt;=$F61+$G61-1),1,""))</f>
        <v/>
      </c>
      <c r="AX61" s="5" t="str">
        <f ca="1">IF(AND($C61="Objetivo",AX$8&gt;=$F61,AX$8&lt;=$F61+$G61-1),2,IF(AND($C61="Hito",AX$8&gt;=$F61,AX$8&lt;=$F61+$G61-1),1,""))</f>
        <v/>
      </c>
      <c r="AY61" s="5" t="str">
        <f ca="1">IF(AND($C61="Objetivo",AY$8&gt;=$F61,AY$8&lt;=$F61+$G61-1),2,IF(AND($C61="Hito",AY$8&gt;=$F61,AY$8&lt;=$F61+$G61-1),1,""))</f>
        <v/>
      </c>
      <c r="AZ61" s="5" t="str">
        <f ca="1">IF(AND($C61="Objetivo",AZ$8&gt;=$F61,AZ$8&lt;=$F61+$G61-1),2,IF(AND($C61="Hito",AZ$8&gt;=$F61,AZ$8&lt;=$F61+$G61-1),1,""))</f>
        <v/>
      </c>
      <c r="BA61" s="5" t="str">
        <f ca="1">IF(AND($C61="Objetivo",BA$8&gt;=$F61,BA$8&lt;=$F61+$G61-1),2,IF(AND($C61="Hito",BA$8&gt;=$F61,BA$8&lt;=$F61+$G61-1),1,""))</f>
        <v/>
      </c>
      <c r="BB61" s="5" t="str">
        <f ca="1">IF(AND($C61="Objetivo",BB$8&gt;=$F61,BB$8&lt;=$F61+$G61-1),2,IF(AND($C61="Hito",BB$8&gt;=$F61,BB$8&lt;=$F61+$G61-1),1,""))</f>
        <v/>
      </c>
      <c r="BC61" s="5" t="str">
        <f ca="1">IF(AND($C61="Objetivo",BC$8&gt;=$F61,BC$8&lt;=$F61+$G61-1),2,IF(AND($C61="Hito",BC$8&gt;=$F61,BC$8&lt;=$F61+$G61-1),1,""))</f>
        <v/>
      </c>
      <c r="BD61" s="5" t="str">
        <f ca="1">IF(AND($C61="Objetivo",BD$8&gt;=$F61,BD$8&lt;=$F61+$G61-1),2,IF(AND($C61="Hito",BD$8&gt;=$F61,BD$8&lt;=$F61+$G61-1),1,""))</f>
        <v/>
      </c>
      <c r="BE61" s="5" t="str">
        <f ca="1">IF(AND($C61="Objetivo",BE$8&gt;=$F61,BE$8&lt;=$F61+$G61-1),2,IF(AND($C61="Hito",BE$8&gt;=$F61,BE$8&lt;=$F61+$G61-1),1,""))</f>
        <v/>
      </c>
      <c r="BF61" s="5" t="str">
        <f ca="1">IF(AND($C61="Objetivo",BF$8&gt;=$F61,BF$8&lt;=$F61+$G61-1),2,IF(AND($C61="Hito",BF$8&gt;=$F61,BF$8&lt;=$F61+$G61-1),1,""))</f>
        <v/>
      </c>
      <c r="BG61" s="5" t="str">
        <f ca="1">IF(AND($C61="Objetivo",BG$8&gt;=$F61,BG$8&lt;=$F61+$G61-1),2,IF(AND($C61="Hito",BG$8&gt;=$F61,BG$8&lt;=$F61+$G61-1),1,""))</f>
        <v/>
      </c>
      <c r="BH61" s="5" t="str">
        <f ca="1">IF(AND($C61="Objetivo",BH$8&gt;=$F61,BH$8&lt;=$F61+$G61-1),2,IF(AND($C61="Hito",BH$8&gt;=$F61,BH$8&lt;=$F61+$G61-1),1,""))</f>
        <v/>
      </c>
      <c r="BI61" s="5" t="str">
        <f ca="1">IF(AND($C61="Objetivo",BI$8&gt;=$F61,BI$8&lt;=$F61+$G61-1),2,IF(AND($C61="Hito",BI$8&gt;=$F61,BI$8&lt;=$F61+$G61-1),1,""))</f>
        <v/>
      </c>
      <c r="BJ61" s="5" t="str">
        <f ca="1">IF(AND($C61="Objetivo",BJ$8&gt;=$F61,BJ$8&lt;=$F61+$G61-1),2,IF(AND($C61="Hito",BJ$8&gt;=$F61,BJ$8&lt;=$F61+$G61-1),1,""))</f>
        <v/>
      </c>
      <c r="BK61" s="5" t="str">
        <f ca="1">IF(AND($C61="Objetivo",BK$8&gt;=$F61,BK$8&lt;=$F61+$G61-1),2,IF(AND($C61="Hito",BK$8&gt;=$F61,BK$8&lt;=$F61+$G61-1),1,""))</f>
        <v/>
      </c>
      <c r="BL61" s="5" t="str">
        <f ca="1">IF(AND($C61="Objetivo",BL$8&gt;=$F61,BL$8&lt;=$F61+$G61-1),2,IF(AND($C61="Hito",BL$8&gt;=$F61,BL$8&lt;=$F61+$G61-1),1,""))</f>
        <v/>
      </c>
      <c r="BM61" s="5" t="str">
        <f ca="1">IF(AND($C61="Objetivo",BM$8&gt;=$F61,BM$8&lt;=$F61+$G61-1),2,IF(AND($C61="Hito",BM$8&gt;=$F61,BM$8&lt;=$F61+$G61-1),1,""))</f>
        <v/>
      </c>
      <c r="BN61" s="5" t="str">
        <f ca="1">IF(AND($C61="Objetivo",BN$8&gt;=$F61,BN$8&lt;=$F61+$G61-1),2,IF(AND($C61="Hito",BN$8&gt;=$F61,BN$8&lt;=$F61+$G61-1),1,""))</f>
        <v/>
      </c>
      <c r="BO61" s="5" t="str">
        <f ca="1">IF(AND($C61="Objetivo",BO$8&gt;=$F61,BO$8&lt;=$F61+$G61-1),2,IF(AND($C61="Hito",BO$8&gt;=$F61,BO$8&lt;=$F61+$G61-1),1,""))</f>
        <v/>
      </c>
      <c r="BP61" s="5" t="str">
        <f ca="1">IF(AND($C61="Objetivo",BP$8&gt;=$F61,BP$8&lt;=$F61+$G61-1),2,IF(AND($C61="Hito",BP$8&gt;=$F61,BP$8&lt;=$F61+$G61-1),1,""))</f>
        <v/>
      </c>
      <c r="BQ61" s="5" t="str">
        <f ca="1">IF(AND($C61="Objetivo",BQ$8&gt;=$F61,BQ$8&lt;=$F61+$G61-1),2,IF(AND($C61="Hito",BQ$8&gt;=$F61,BQ$8&lt;=$F61+$G61-1),1,""))</f>
        <v/>
      </c>
      <c r="BR61" s="5" t="str">
        <f ca="1">IF(AND($C61="Objetivo",BR$8&gt;=$F61,BR$8&lt;=$F61+$G61-1),2,IF(AND($C61="Hito",BR$8&gt;=$F61,BR$8&lt;=$F61+$G61-1),1,""))</f>
        <v/>
      </c>
      <c r="BS61" s="5" t="str">
        <f ca="1">IF(AND($C61="Objetivo",BS$8&gt;=$F61,BS$8&lt;=$F61+$G61-1),2,IF(AND($C61="Hito",BS$8&gt;=$F61,BS$8&lt;=$F61+$G61-1),1,""))</f>
        <v/>
      </c>
      <c r="BT61" s="5" t="str">
        <f ca="1">IF(AND($C61="Objetivo",BT$8&gt;=$F61,BT$8&lt;=$F61+$G61-1),2,IF(AND($C61="Hito",BT$8&gt;=$F61,BT$8&lt;=$F61+$G61-1),1,""))</f>
        <v/>
      </c>
      <c r="BU61" s="5" t="str">
        <f ca="1">IF(AND($C61="Objetivo",BU$8&gt;=$F61,BU$8&lt;=$F61+$G61-1),2,IF(AND($C61="Hito",BU$8&gt;=$F61,BU$8&lt;=$F61+$G61-1),1,""))</f>
        <v/>
      </c>
      <c r="BV61" s="5" t="str">
        <f ca="1">IF(AND($C61="Objetivo",BV$8&gt;=$F61,BV$8&lt;=$F61+$G61-1),2,IF(AND($C61="Hito",BV$8&gt;=$F61,BV$8&lt;=$F61+$G61-1),1,""))</f>
        <v/>
      </c>
      <c r="BW61" s="5" t="str">
        <f ca="1">IF(AND($C61="Objetivo",BW$8&gt;=$F61,BW$8&lt;=$F61+$G61-1),2,IF(AND($C61="Hito",BW$8&gt;=$F61,BW$8&lt;=$F61+$G61-1),1,""))</f>
        <v/>
      </c>
      <c r="BX61" s="5" t="str">
        <f ca="1">IF(AND($C61="Objetivo",BX$8&gt;=$F61,BX$8&lt;=$F61+$G61-1),2,IF(AND($C61="Hito",BX$8&gt;=$F61,BX$8&lt;=$F61+$G61-1),1,""))</f>
        <v/>
      </c>
      <c r="BY61" s="5" t="str">
        <f ca="1">IF(AND($C61="Objetivo",BY$8&gt;=$F61,BY$8&lt;=$F61+$G61-1),2,IF(AND($C61="Hito",BY$8&gt;=$F61,BY$8&lt;=$F61+$G61-1),1,""))</f>
        <v/>
      </c>
      <c r="BZ61" s="5" t="str">
        <f ca="1">IF(AND($C61="Objetivo",BZ$8&gt;=$F61,BZ$8&lt;=$F61+$G61-1),2,IF(AND($C61="Hito",BZ$8&gt;=$F61,BZ$8&lt;=$F61+$G61-1),1,""))</f>
        <v/>
      </c>
      <c r="CA61" s="5" t="str">
        <f ca="1">IF(AND($C61="Objetivo",CA$8&gt;=$F61,CA$8&lt;=$F61+$G61-1),2,IF(AND($C61="Hito",CA$8&gt;=$F61,CA$8&lt;=$F61+$G61-1),1,""))</f>
        <v/>
      </c>
      <c r="CB61" s="5" t="str">
        <f ca="1">IF(AND($C61="Objetivo",CB$8&gt;=$F61,CB$8&lt;=$F61+$G61-1),2,IF(AND($C61="Hito",CB$8&gt;=$F61,CB$8&lt;=$F61+$G61-1),1,""))</f>
        <v/>
      </c>
      <c r="CC61" s="5" t="str">
        <f ca="1">IF(AND($C61="Objetivo",CC$8&gt;=$F61,CC$8&lt;=$F61+$G61-1),2,IF(AND($C61="Hito",CC$8&gt;=$F61,CC$8&lt;=$F61+$G61-1),1,""))</f>
        <v/>
      </c>
      <c r="CD61" s="5" t="str">
        <f ca="1">IF(AND($C61="Objetivo",CD$8&gt;=$F61,CD$8&lt;=$F61+$G61-1),2,IF(AND($C61="Hito",CD$8&gt;=$F61,CD$8&lt;=$F61+$G61-1),1,""))</f>
        <v/>
      </c>
      <c r="CE61" s="5" t="str">
        <f ca="1">IF(AND($C61="Objetivo",CE$8&gt;=$F61,CE$8&lt;=$F61+$G61-1),2,IF(AND($C61="Hito",CE$8&gt;=$F61,CE$8&lt;=$F61+$G61-1),1,""))</f>
        <v/>
      </c>
      <c r="CF61" s="5" t="str">
        <f ca="1">IF(AND($C61="Objetivo",CF$8&gt;=$F61,CF$8&lt;=$F61+$G61-1),2,IF(AND($C61="Hito",CF$8&gt;=$F61,CF$8&lt;=$F61+$G61-1),1,""))</f>
        <v/>
      </c>
      <c r="CG61" s="5" t="str">
        <f ca="1">IF(AND($C61="Objetivo",CG$8&gt;=$F61,CG$8&lt;=$F61+$G61-1),2,IF(AND($C61="Hito",CG$8&gt;=$F61,CG$8&lt;=$F61+$G61-1),1,""))</f>
        <v/>
      </c>
      <c r="CH61" s="5" t="str">
        <f ca="1">IF(AND($C61="Objetivo",CH$8&gt;=$F61,CH$8&lt;=$F61+$G61-1),2,IF(AND($C61="Hito",CH$8&gt;=$F61,CH$8&lt;=$F61+$G61-1),1,""))</f>
        <v/>
      </c>
      <c r="CI61" s="5" t="str">
        <f ca="1">IF(AND($C61="Objetivo",CI$8&gt;=$F61,CI$8&lt;=$F61+$G61-1),2,IF(AND($C61="Hito",CI$8&gt;=$F61,CI$8&lt;=$F61+$G61-1),1,""))</f>
        <v/>
      </c>
      <c r="CJ61" s="5" t="str">
        <f ca="1">IF(AND($C61="Objetivo",CJ$8&gt;=$F61,CJ$8&lt;=$F61+$G61-1),2,IF(AND($C61="Hito",CJ$8&gt;=$F61,CJ$8&lt;=$F61+$G61-1),1,""))</f>
        <v/>
      </c>
      <c r="CK61" s="5" t="str">
        <f ca="1">IF(AND($C61="Objetivo",CK$8&gt;=$F61,CK$8&lt;=$F61+$G61-1),2,IF(AND($C61="Hito",CK$8&gt;=$F61,CK$8&lt;=$F61+$G61-1),1,""))</f>
        <v/>
      </c>
      <c r="CL61" s="5" t="str">
        <f ca="1">IF(AND($C61="Objetivo",CL$8&gt;=$F61,CL$8&lt;=$F61+$G61-1),2,IF(AND($C61="Hito",CL$8&gt;=$F61,CL$8&lt;=$F61+$G61-1),1,""))</f>
        <v/>
      </c>
      <c r="CM61" s="5" t="str">
        <f ca="1">IF(AND($C61="Objetivo",CM$8&gt;=$F61,CM$8&lt;=$F61+$G61-1),2,IF(AND($C61="Hito",CM$8&gt;=$F61,CM$8&lt;=$F61+$G61-1),1,""))</f>
        <v/>
      </c>
      <c r="CN61" s="5" t="str">
        <f ca="1">IF(AND($C61="Objetivo",CN$8&gt;=$F61,CN$8&lt;=$F61+$G61-1),2,IF(AND($C61="Hito",CN$8&gt;=$F61,CN$8&lt;=$F61+$G61-1),1,""))</f>
        <v/>
      </c>
      <c r="CO61" s="5" t="str">
        <f ca="1">IF(AND($C61="Objetivo",CO$8&gt;=$F61,CO$8&lt;=$F61+$G61-1),2,IF(AND($C61="Hito",CO$8&gt;=$F61,CO$8&lt;=$F61+$G61-1),1,""))</f>
        <v/>
      </c>
      <c r="CP61" s="5" t="str">
        <f ca="1">IF(AND($C61="Objetivo",CP$8&gt;=$F61,CP$8&lt;=$F61+$G61-1),2,IF(AND($C61="Hito",CP$8&gt;=$F61,CP$8&lt;=$F61+$G61-1),1,""))</f>
        <v/>
      </c>
      <c r="CQ61" s="5" t="str">
        <f ca="1">IF(AND($C61="Objetivo",CQ$8&gt;=$F61,CQ$8&lt;=$F61+$G61-1),2,IF(AND($C61="Hito",CQ$8&gt;=$F61,CQ$8&lt;=$F61+$G61-1),1,""))</f>
        <v/>
      </c>
      <c r="CR61" s="5" t="str">
        <f ca="1">IF(AND($C61="Objetivo",CR$8&gt;=$F61,CR$8&lt;=$F61+$G61-1),2,IF(AND($C61="Hito",CR$8&gt;=$F61,CR$8&lt;=$F61+$G61-1),1,""))</f>
        <v/>
      </c>
      <c r="CS61" s="5" t="str">
        <f ca="1">IF(AND($C61="Objetivo",CS$8&gt;=$F61,CS$8&lt;=$F61+$G61-1),2,IF(AND($C61="Hito",CS$8&gt;=$F61,CS$8&lt;=$F61+$G61-1),1,""))</f>
        <v/>
      </c>
      <c r="CT61" s="5" t="str">
        <f ca="1">IF(AND($C61="Objetivo",CT$8&gt;=$F61,CT$8&lt;=$F61+$G61-1),2,IF(AND($C61="Hito",CT$8&gt;=$F61,CT$8&lt;=$F61+$G61-1),1,""))</f>
        <v/>
      </c>
      <c r="CU61" s="5" t="str">
        <f ca="1">IF(AND($C61="Objetivo",CU$8&gt;=$F61,CU$8&lt;=$F61+$G61-1),2,IF(AND($C61="Hito",CU$8&gt;=$F61,CU$8&lt;=$F61+$G61-1),1,""))</f>
        <v/>
      </c>
      <c r="CV61" s="5" t="str">
        <f ca="1">IF(AND($C61="Objetivo",CV$8&gt;=$F61,CV$8&lt;=$F61+$G61-1),2,IF(AND($C61="Hito",CV$8&gt;=$F61,CV$8&lt;=$F61+$G61-1),1,""))</f>
        <v/>
      </c>
      <c r="CW61" s="5" t="str">
        <f ca="1">IF(AND($C61="Objetivo",CW$8&gt;=$F61,CW$8&lt;=$F61+$G61-1),2,IF(AND($C61="Hito",CW$8&gt;=$F61,CW$8&lt;=$F61+$G61-1),1,""))</f>
        <v/>
      </c>
      <c r="CX61" s="5" t="str">
        <f ca="1">IF(AND($C61="Objetivo",CX$8&gt;=$F61,CX$8&lt;=$F61+$G61-1),2,IF(AND($C61="Hito",CX$8&gt;=$F61,CX$8&lt;=$F61+$G61-1),1,""))</f>
        <v/>
      </c>
      <c r="CY61" s="5" t="str">
        <f ca="1">IF(AND($C61="Objetivo",CY$8&gt;=$F61,CY$8&lt;=$F61+$G61-1),2,IF(AND($C61="Hito",CY$8&gt;=$F61,CY$8&lt;=$F61+$G61-1),1,""))</f>
        <v/>
      </c>
      <c r="CZ61" s="5" t="str">
        <f ca="1">IF(AND($C61="Objetivo",CZ$8&gt;=$F61,CZ$8&lt;=$F61+$G61-1),2,IF(AND($C61="Hito",CZ$8&gt;=$F61,CZ$8&lt;=$F61+$G61-1),1,""))</f>
        <v/>
      </c>
      <c r="DA61" s="5" t="str">
        <f ca="1">IF(AND($C61="Objetivo",DA$8&gt;=$F61,DA$8&lt;=$F61+$G61-1),2,IF(AND($C61="Hito",DA$8&gt;=$F61,DA$8&lt;=$F61+$G61-1),1,""))</f>
        <v/>
      </c>
      <c r="DB61" s="5" t="str">
        <f ca="1">IF(AND($C61="Objetivo",DB$8&gt;=$F61,DB$8&lt;=$F61+$G61-1),2,IF(AND($C61="Hito",DB$8&gt;=$F61,DB$8&lt;=$F61+$G61-1),1,""))</f>
        <v/>
      </c>
    </row>
    <row r="62" spans="1:106" ht="30" customHeight="1" x14ac:dyDescent="0.25">
      <c r="B62" s="41"/>
      <c r="C62" s="34"/>
      <c r="D62" s="34"/>
      <c r="E62" s="50"/>
      <c r="F62" s="40"/>
      <c r="G62" s="57"/>
      <c r="H62" s="29"/>
      <c r="I62" s="29"/>
      <c r="K62" s="5" t="str">
        <f ca="1">IF(AND($C62="Objetivo",K$8&gt;=$F62,K$8&lt;=$F62+$G62-1),2,IF(AND($C62="Hito",K$8&gt;=$F62,K$8&lt;=$F62+$G62-1),1,""))</f>
        <v/>
      </c>
      <c r="L62" s="5" t="str">
        <f ca="1">IF(AND($C62="Objetivo",L$8&gt;=$F62,L$8&lt;=$F62+$G62-1),2,IF(AND($C62="Hito",L$8&gt;=$F62,L$8&lt;=$F62+$G62-1),1,""))</f>
        <v/>
      </c>
      <c r="M62" s="5" t="str">
        <f ca="1">IF(AND($C62="Objetivo",M$8&gt;=$F62,M$8&lt;=$F62+$G62-1),2,IF(AND($C62="Hito",M$8&gt;=$F62,M$8&lt;=$F62+$G62-1),1,""))</f>
        <v/>
      </c>
      <c r="N62" s="5" t="str">
        <f ca="1">IF(AND($C62="Objetivo",N$8&gt;=$F62,N$8&lt;=$F62+$G62-1),2,IF(AND($C62="Hito",N$8&gt;=$F62,N$8&lt;=$F62+$G62-1),1,""))</f>
        <v/>
      </c>
      <c r="O62" s="5" t="str">
        <f ca="1">IF(AND($C62="Objetivo",O$8&gt;=$F62,O$8&lt;=$F62+$G62-1),2,IF(AND($C62="Hito",O$8&gt;=$F62,O$8&lt;=$F62+$G62-1),1,""))</f>
        <v/>
      </c>
      <c r="P62" s="5" t="str">
        <f ca="1">IF(AND($C62="Objetivo",P$8&gt;=$F62,P$8&lt;=$F62+$G62-1),2,IF(AND($C62="Hito",P$8&gt;=$F62,P$8&lt;=$F62+$G62-1),1,""))</f>
        <v/>
      </c>
      <c r="Q62" s="5" t="str">
        <f ca="1">IF(AND($C62="Objetivo",Q$8&gt;=$F62,Q$8&lt;=$F62+$G62-1),2,IF(AND($C62="Hito",Q$8&gt;=$F62,Q$8&lt;=$F62+$G62-1),1,""))</f>
        <v/>
      </c>
      <c r="R62" s="5" t="str">
        <f ca="1">IF(AND($C62="Objetivo",R$8&gt;=$F62,R$8&lt;=$F62+$G62-1),2,IF(AND($C62="Hito",R$8&gt;=$F62,R$8&lt;=$F62+$G62-1),1,""))</f>
        <v/>
      </c>
      <c r="S62" s="5" t="str">
        <f ca="1">IF(AND($C62="Objetivo",S$8&gt;=$F62,S$8&lt;=$F62+$G62-1),2,IF(AND($C62="Hito",S$8&gt;=$F62,S$8&lt;=$F62+$G62-1),1,""))</f>
        <v/>
      </c>
      <c r="T62" s="5" t="str">
        <f ca="1">IF(AND($C62="Objetivo",T$8&gt;=$F62,T$8&lt;=$F62+$G62-1),2,IF(AND($C62="Hito",T$8&gt;=$F62,T$8&lt;=$F62+$G62-1),1,""))</f>
        <v/>
      </c>
      <c r="U62" s="5" t="str">
        <f ca="1">IF(AND($C62="Objetivo",U$8&gt;=$F62,U$8&lt;=$F62+$G62-1),2,IF(AND($C62="Hito",U$8&gt;=$F62,U$8&lt;=$F62+$G62-1),1,""))</f>
        <v/>
      </c>
      <c r="V62" s="5" t="str">
        <f ca="1">IF(AND($C62="Objetivo",V$8&gt;=$F62,V$8&lt;=$F62+$G62-1),2,IF(AND($C62="Hito",V$8&gt;=$F62,V$8&lt;=$F62+$G62-1),1,""))</f>
        <v/>
      </c>
      <c r="W62" s="5" t="str">
        <f ca="1">IF(AND($C62="Objetivo",W$8&gt;=$F62,W$8&lt;=$F62+$G62-1),2,IF(AND($C62="Hito",W$8&gt;=$F62,W$8&lt;=$F62+$G62-1),1,""))</f>
        <v/>
      </c>
      <c r="X62" s="5" t="str">
        <f ca="1">IF(AND($C62="Objetivo",X$8&gt;=$F62,X$8&lt;=$F62+$G62-1),2,IF(AND($C62="Hito",X$8&gt;=$F62,X$8&lt;=$F62+$G62-1),1,""))</f>
        <v/>
      </c>
      <c r="Y62" s="5" t="str">
        <f ca="1">IF(AND($C62="Objetivo",Y$8&gt;=$F62,Y$8&lt;=$F62+$G62-1),2,IF(AND($C62="Hito",Y$8&gt;=$F62,Y$8&lt;=$F62+$G62-1),1,""))</f>
        <v/>
      </c>
      <c r="Z62" s="5" t="str">
        <f ca="1">IF(AND($C62="Objetivo",Z$8&gt;=$F62,Z$8&lt;=$F62+$G62-1),2,IF(AND($C62="Hito",Z$8&gt;=$F62,Z$8&lt;=$F62+$G62-1),1,""))</f>
        <v/>
      </c>
      <c r="AA62" s="5" t="str">
        <f ca="1">IF(AND($C62="Objetivo",AA$8&gt;=$F62,AA$8&lt;=$F62+$G62-1),2,IF(AND($C62="Hito",AA$8&gt;=$F62,AA$8&lt;=$F62+$G62-1),1,""))</f>
        <v/>
      </c>
      <c r="AB62" s="5" t="str">
        <f ca="1">IF(AND($C62="Objetivo",AB$8&gt;=$F62,AB$8&lt;=$F62+$G62-1),2,IF(AND($C62="Hito",AB$8&gt;=$F62,AB$8&lt;=$F62+$G62-1),1,""))</f>
        <v/>
      </c>
      <c r="AC62" s="5" t="str">
        <f ca="1">IF(AND($C62="Objetivo",AC$8&gt;=$F62,AC$8&lt;=$F62+$G62-1),2,IF(AND($C62="Hito",AC$8&gt;=$F62,AC$8&lt;=$F62+$G62-1),1,""))</f>
        <v/>
      </c>
      <c r="AD62" s="5" t="str">
        <f ca="1">IF(AND($C62="Objetivo",AD$8&gt;=$F62,AD$8&lt;=$F62+$G62-1),2,IF(AND($C62="Hito",AD$8&gt;=$F62,AD$8&lt;=$F62+$G62-1),1,""))</f>
        <v/>
      </c>
      <c r="AE62" s="5" t="str">
        <f ca="1">IF(AND($C62="Objetivo",AE$8&gt;=$F62,AE$8&lt;=$F62+$G62-1),2,IF(AND($C62="Hito",AE$8&gt;=$F62,AE$8&lt;=$F62+$G62-1),1,""))</f>
        <v/>
      </c>
      <c r="AF62" s="5" t="str">
        <f ca="1">IF(AND($C62="Objetivo",AF$8&gt;=$F62,AF$8&lt;=$F62+$G62-1),2,IF(AND($C62="Hito",AF$8&gt;=$F62,AF$8&lt;=$F62+$G62-1),1,""))</f>
        <v/>
      </c>
      <c r="AG62" s="5" t="str">
        <f ca="1">IF(AND($C62="Objetivo",AG$8&gt;=$F62,AG$8&lt;=$F62+$G62-1),2,IF(AND($C62="Hito",AG$8&gt;=$F62,AG$8&lt;=$F62+$G62-1),1,""))</f>
        <v/>
      </c>
      <c r="AH62" s="5" t="str">
        <f ca="1">IF(AND($C62="Objetivo",AH$8&gt;=$F62,AH$8&lt;=$F62+$G62-1),2,IF(AND($C62="Hito",AH$8&gt;=$F62,AH$8&lt;=$F62+$G62-1),1,""))</f>
        <v/>
      </c>
      <c r="AI62" s="5" t="str">
        <f ca="1">IF(AND($C62="Objetivo",AI$8&gt;=$F62,AI$8&lt;=$F62+$G62-1),2,IF(AND($C62="Hito",AI$8&gt;=$F62,AI$8&lt;=$F62+$G62-1),1,""))</f>
        <v/>
      </c>
      <c r="AJ62" s="5" t="str">
        <f ca="1">IF(AND($C62="Objetivo",AJ$8&gt;=$F62,AJ$8&lt;=$F62+$G62-1),2,IF(AND($C62="Hito",AJ$8&gt;=$F62,AJ$8&lt;=$F62+$G62-1),1,""))</f>
        <v/>
      </c>
      <c r="AK62" s="5" t="str">
        <f ca="1">IF(AND($C62="Objetivo",AK$8&gt;=$F62,AK$8&lt;=$F62+$G62-1),2,IF(AND($C62="Hito",AK$8&gt;=$F62,AK$8&lt;=$F62+$G62-1),1,""))</f>
        <v/>
      </c>
      <c r="AL62" s="5" t="str">
        <f ca="1">IF(AND($C62="Objetivo",AL$8&gt;=$F62,AL$8&lt;=$F62+$G62-1),2,IF(AND($C62="Hito",AL$8&gt;=$F62,AL$8&lt;=$F62+$G62-1),1,""))</f>
        <v/>
      </c>
      <c r="AM62" s="5" t="str">
        <f ca="1">IF(AND($C62="Objetivo",AM$8&gt;=$F62,AM$8&lt;=$F62+$G62-1),2,IF(AND($C62="Hito",AM$8&gt;=$F62,AM$8&lt;=$F62+$G62-1),1,""))</f>
        <v/>
      </c>
      <c r="AN62" s="5" t="str">
        <f ca="1">IF(AND($C62="Objetivo",AN$8&gt;=$F62,AN$8&lt;=$F62+$G62-1),2,IF(AND($C62="Hito",AN$8&gt;=$F62,AN$8&lt;=$F62+$G62-1),1,""))</f>
        <v/>
      </c>
      <c r="AO62" s="5" t="str">
        <f ca="1">IF(AND($C62="Objetivo",AO$8&gt;=$F62,AO$8&lt;=$F62+$G62-1),2,IF(AND($C62="Hito",AO$8&gt;=$F62,AO$8&lt;=$F62+$G62-1),1,""))</f>
        <v/>
      </c>
      <c r="AP62" s="5" t="str">
        <f ca="1">IF(AND($C62="Objetivo",AP$8&gt;=$F62,AP$8&lt;=$F62+$G62-1),2,IF(AND($C62="Hito",AP$8&gt;=$F62,AP$8&lt;=$F62+$G62-1),1,""))</f>
        <v/>
      </c>
      <c r="AQ62" s="5" t="str">
        <f ca="1">IF(AND($C62="Objetivo",AQ$8&gt;=$F62,AQ$8&lt;=$F62+$G62-1),2,IF(AND($C62="Hito",AQ$8&gt;=$F62,AQ$8&lt;=$F62+$G62-1),1,""))</f>
        <v/>
      </c>
      <c r="AR62" s="5" t="str">
        <f ca="1">IF(AND($C62="Objetivo",AR$8&gt;=$F62,AR$8&lt;=$F62+$G62-1),2,IF(AND($C62="Hito",AR$8&gt;=$F62,AR$8&lt;=$F62+$G62-1),1,""))</f>
        <v/>
      </c>
      <c r="AS62" s="5" t="str">
        <f ca="1">IF(AND($C62="Objetivo",AS$8&gt;=$F62,AS$8&lt;=$F62+$G62-1),2,IF(AND($C62="Hito",AS$8&gt;=$F62,AS$8&lt;=$F62+$G62-1),1,""))</f>
        <v/>
      </c>
      <c r="AT62" s="5" t="str">
        <f ca="1">IF(AND($C62="Objetivo",AT$8&gt;=$F62,AT$8&lt;=$F62+$G62-1),2,IF(AND($C62="Hito",AT$8&gt;=$F62,AT$8&lt;=$F62+$G62-1),1,""))</f>
        <v/>
      </c>
      <c r="AU62" s="5" t="str">
        <f ca="1">IF(AND($C62="Objetivo",AU$8&gt;=$F62,AU$8&lt;=$F62+$G62-1),2,IF(AND($C62="Hito",AU$8&gt;=$F62,AU$8&lt;=$F62+$G62-1),1,""))</f>
        <v/>
      </c>
      <c r="AV62" s="5" t="str">
        <f ca="1">IF(AND($C62="Objetivo",AV$8&gt;=$F62,AV$8&lt;=$F62+$G62-1),2,IF(AND($C62="Hito",AV$8&gt;=$F62,AV$8&lt;=$F62+$G62-1),1,""))</f>
        <v/>
      </c>
      <c r="AW62" s="5" t="str">
        <f ca="1">IF(AND($C62="Objetivo",AW$8&gt;=$F62,AW$8&lt;=$F62+$G62-1),2,IF(AND($C62="Hito",AW$8&gt;=$F62,AW$8&lt;=$F62+$G62-1),1,""))</f>
        <v/>
      </c>
      <c r="AX62" s="5" t="str">
        <f ca="1">IF(AND($C62="Objetivo",AX$8&gt;=$F62,AX$8&lt;=$F62+$G62-1),2,IF(AND($C62="Hito",AX$8&gt;=$F62,AX$8&lt;=$F62+$G62-1),1,""))</f>
        <v/>
      </c>
      <c r="AY62" s="5" t="str">
        <f ca="1">IF(AND($C62="Objetivo",AY$8&gt;=$F62,AY$8&lt;=$F62+$G62-1),2,IF(AND($C62="Hito",AY$8&gt;=$F62,AY$8&lt;=$F62+$G62-1),1,""))</f>
        <v/>
      </c>
      <c r="AZ62" s="5" t="str">
        <f ca="1">IF(AND($C62="Objetivo",AZ$8&gt;=$F62,AZ$8&lt;=$F62+$G62-1),2,IF(AND($C62="Hito",AZ$8&gt;=$F62,AZ$8&lt;=$F62+$G62-1),1,""))</f>
        <v/>
      </c>
      <c r="BA62" s="5" t="str">
        <f ca="1">IF(AND($C62="Objetivo",BA$8&gt;=$F62,BA$8&lt;=$F62+$G62-1),2,IF(AND($C62="Hito",BA$8&gt;=$F62,BA$8&lt;=$F62+$G62-1),1,""))</f>
        <v/>
      </c>
      <c r="BB62" s="5" t="str">
        <f ca="1">IF(AND($C62="Objetivo",BB$8&gt;=$F62,BB$8&lt;=$F62+$G62-1),2,IF(AND($C62="Hito",BB$8&gt;=$F62,BB$8&lt;=$F62+$G62-1),1,""))</f>
        <v/>
      </c>
      <c r="BC62" s="5" t="str">
        <f ca="1">IF(AND($C62="Objetivo",BC$8&gt;=$F62,BC$8&lt;=$F62+$G62-1),2,IF(AND($C62="Hito",BC$8&gt;=$F62,BC$8&lt;=$F62+$G62-1),1,""))</f>
        <v/>
      </c>
      <c r="BD62" s="5" t="str">
        <f ca="1">IF(AND($C62="Objetivo",BD$8&gt;=$F62,BD$8&lt;=$F62+$G62-1),2,IF(AND($C62="Hito",BD$8&gt;=$F62,BD$8&lt;=$F62+$G62-1),1,""))</f>
        <v/>
      </c>
      <c r="BE62" s="5" t="str">
        <f ca="1">IF(AND($C62="Objetivo",BE$8&gt;=$F62,BE$8&lt;=$F62+$G62-1),2,IF(AND($C62="Hito",BE$8&gt;=$F62,BE$8&lt;=$F62+$G62-1),1,""))</f>
        <v/>
      </c>
      <c r="BF62" s="5" t="str">
        <f ca="1">IF(AND($C62="Objetivo",BF$8&gt;=$F62,BF$8&lt;=$F62+$G62-1),2,IF(AND($C62="Hito",BF$8&gt;=$F62,BF$8&lt;=$F62+$G62-1),1,""))</f>
        <v/>
      </c>
      <c r="BG62" s="5" t="str">
        <f ca="1">IF(AND($C62="Objetivo",BG$8&gt;=$F62,BG$8&lt;=$F62+$G62-1),2,IF(AND($C62="Hito",BG$8&gt;=$F62,BG$8&lt;=$F62+$G62-1),1,""))</f>
        <v/>
      </c>
      <c r="BH62" s="5" t="str">
        <f ca="1">IF(AND($C62="Objetivo",BH$8&gt;=$F62,BH$8&lt;=$F62+$G62-1),2,IF(AND($C62="Hito",BH$8&gt;=$F62,BH$8&lt;=$F62+$G62-1),1,""))</f>
        <v/>
      </c>
      <c r="BI62" s="5" t="str">
        <f ca="1">IF(AND($C62="Objetivo",BI$8&gt;=$F62,BI$8&lt;=$F62+$G62-1),2,IF(AND($C62="Hito",BI$8&gt;=$F62,BI$8&lt;=$F62+$G62-1),1,""))</f>
        <v/>
      </c>
      <c r="BJ62" s="5" t="str">
        <f ca="1">IF(AND($C62="Objetivo",BJ$8&gt;=$F62,BJ$8&lt;=$F62+$G62-1),2,IF(AND($C62="Hito",BJ$8&gt;=$F62,BJ$8&lt;=$F62+$G62-1),1,""))</f>
        <v/>
      </c>
      <c r="BK62" s="5" t="str">
        <f ca="1">IF(AND($C62="Objetivo",BK$8&gt;=$F62,BK$8&lt;=$F62+$G62-1),2,IF(AND($C62="Hito",BK$8&gt;=$F62,BK$8&lt;=$F62+$G62-1),1,""))</f>
        <v/>
      </c>
      <c r="BL62" s="5" t="str">
        <f ca="1">IF(AND($C62="Objetivo",BL$8&gt;=$F62,BL$8&lt;=$F62+$G62-1),2,IF(AND($C62="Hito",BL$8&gt;=$F62,BL$8&lt;=$F62+$G62-1),1,""))</f>
        <v/>
      </c>
      <c r="BM62" s="5" t="str">
        <f ca="1">IF(AND($C62="Objetivo",BM$8&gt;=$F62,BM$8&lt;=$F62+$G62-1),2,IF(AND($C62="Hito",BM$8&gt;=$F62,BM$8&lt;=$F62+$G62-1),1,""))</f>
        <v/>
      </c>
      <c r="BN62" s="5" t="str">
        <f ca="1">IF(AND($C62="Objetivo",BN$8&gt;=$F62,BN$8&lt;=$F62+$G62-1),2,IF(AND($C62="Hito",BN$8&gt;=$F62,BN$8&lt;=$F62+$G62-1),1,""))</f>
        <v/>
      </c>
      <c r="BO62" s="5" t="str">
        <f ca="1">IF(AND($C62="Objetivo",BO$8&gt;=$F62,BO$8&lt;=$F62+$G62-1),2,IF(AND($C62="Hito",BO$8&gt;=$F62,BO$8&lt;=$F62+$G62-1),1,""))</f>
        <v/>
      </c>
      <c r="BP62" s="5" t="str">
        <f ca="1">IF(AND($C62="Objetivo",BP$8&gt;=$F62,BP$8&lt;=$F62+$G62-1),2,IF(AND($C62="Hito",BP$8&gt;=$F62,BP$8&lt;=$F62+$G62-1),1,""))</f>
        <v/>
      </c>
      <c r="BQ62" s="5" t="str">
        <f ca="1">IF(AND($C62="Objetivo",BQ$8&gt;=$F62,BQ$8&lt;=$F62+$G62-1),2,IF(AND($C62="Hito",BQ$8&gt;=$F62,BQ$8&lt;=$F62+$G62-1),1,""))</f>
        <v/>
      </c>
      <c r="BR62" s="5" t="str">
        <f ca="1">IF(AND($C62="Objetivo",BR$8&gt;=$F62,BR$8&lt;=$F62+$G62-1),2,IF(AND($C62="Hito",BR$8&gt;=$F62,BR$8&lt;=$F62+$G62-1),1,""))</f>
        <v/>
      </c>
      <c r="BS62" s="5" t="str">
        <f ca="1">IF(AND($C62="Objetivo",BS$8&gt;=$F62,BS$8&lt;=$F62+$G62-1),2,IF(AND($C62="Hito",BS$8&gt;=$F62,BS$8&lt;=$F62+$G62-1),1,""))</f>
        <v/>
      </c>
      <c r="BT62" s="5" t="str">
        <f ca="1">IF(AND($C62="Objetivo",BT$8&gt;=$F62,BT$8&lt;=$F62+$G62-1),2,IF(AND($C62="Hito",BT$8&gt;=$F62,BT$8&lt;=$F62+$G62-1),1,""))</f>
        <v/>
      </c>
      <c r="BU62" s="5" t="str">
        <f ca="1">IF(AND($C62="Objetivo",BU$8&gt;=$F62,BU$8&lt;=$F62+$G62-1),2,IF(AND($C62="Hito",BU$8&gt;=$F62,BU$8&lt;=$F62+$G62-1),1,""))</f>
        <v/>
      </c>
      <c r="BV62" s="5" t="str">
        <f ca="1">IF(AND($C62="Objetivo",BV$8&gt;=$F62,BV$8&lt;=$F62+$G62-1),2,IF(AND($C62="Hito",BV$8&gt;=$F62,BV$8&lt;=$F62+$G62-1),1,""))</f>
        <v/>
      </c>
      <c r="BW62" s="5" t="str">
        <f ca="1">IF(AND($C62="Objetivo",BW$8&gt;=$F62,BW$8&lt;=$F62+$G62-1),2,IF(AND($C62="Hito",BW$8&gt;=$F62,BW$8&lt;=$F62+$G62-1),1,""))</f>
        <v/>
      </c>
      <c r="BX62" s="5" t="str">
        <f ca="1">IF(AND($C62="Objetivo",BX$8&gt;=$F62,BX$8&lt;=$F62+$G62-1),2,IF(AND($C62="Hito",BX$8&gt;=$F62,BX$8&lt;=$F62+$G62-1),1,""))</f>
        <v/>
      </c>
      <c r="BY62" s="5" t="str">
        <f ca="1">IF(AND($C62="Objetivo",BY$8&gt;=$F62,BY$8&lt;=$F62+$G62-1),2,IF(AND($C62="Hito",BY$8&gt;=$F62,BY$8&lt;=$F62+$G62-1),1,""))</f>
        <v/>
      </c>
      <c r="BZ62" s="5" t="str">
        <f ca="1">IF(AND($C62="Objetivo",BZ$8&gt;=$F62,BZ$8&lt;=$F62+$G62-1),2,IF(AND($C62="Hito",BZ$8&gt;=$F62,BZ$8&lt;=$F62+$G62-1),1,""))</f>
        <v/>
      </c>
      <c r="CA62" s="5" t="str">
        <f ca="1">IF(AND($C62="Objetivo",CA$8&gt;=$F62,CA$8&lt;=$F62+$G62-1),2,IF(AND($C62="Hito",CA$8&gt;=$F62,CA$8&lt;=$F62+$G62-1),1,""))</f>
        <v/>
      </c>
      <c r="CB62" s="5" t="str">
        <f ca="1">IF(AND($C62="Objetivo",CB$8&gt;=$F62,CB$8&lt;=$F62+$G62-1),2,IF(AND($C62="Hito",CB$8&gt;=$F62,CB$8&lt;=$F62+$G62-1),1,""))</f>
        <v/>
      </c>
      <c r="CC62" s="5" t="str">
        <f ca="1">IF(AND($C62="Objetivo",CC$8&gt;=$F62,CC$8&lt;=$F62+$G62-1),2,IF(AND($C62="Hito",CC$8&gt;=$F62,CC$8&lt;=$F62+$G62-1),1,""))</f>
        <v/>
      </c>
      <c r="CD62" s="5" t="str">
        <f ca="1">IF(AND($C62="Objetivo",CD$8&gt;=$F62,CD$8&lt;=$F62+$G62-1),2,IF(AND($C62="Hito",CD$8&gt;=$F62,CD$8&lt;=$F62+$G62-1),1,""))</f>
        <v/>
      </c>
      <c r="CE62" s="5" t="str">
        <f ca="1">IF(AND($C62="Objetivo",CE$8&gt;=$F62,CE$8&lt;=$F62+$G62-1),2,IF(AND($C62="Hito",CE$8&gt;=$F62,CE$8&lt;=$F62+$G62-1),1,""))</f>
        <v/>
      </c>
      <c r="CF62" s="5" t="str">
        <f ca="1">IF(AND($C62="Objetivo",CF$8&gt;=$F62,CF$8&lt;=$F62+$G62-1),2,IF(AND($C62="Hito",CF$8&gt;=$F62,CF$8&lt;=$F62+$G62-1),1,""))</f>
        <v/>
      </c>
      <c r="CG62" s="5" t="str">
        <f ca="1">IF(AND($C62="Objetivo",CG$8&gt;=$F62,CG$8&lt;=$F62+$G62-1),2,IF(AND($C62="Hito",CG$8&gt;=$F62,CG$8&lt;=$F62+$G62-1),1,""))</f>
        <v/>
      </c>
      <c r="CH62" s="5" t="str">
        <f ca="1">IF(AND($C62="Objetivo",CH$8&gt;=$F62,CH$8&lt;=$F62+$G62-1),2,IF(AND($C62="Hito",CH$8&gt;=$F62,CH$8&lt;=$F62+$G62-1),1,""))</f>
        <v/>
      </c>
      <c r="CI62" s="5" t="str">
        <f ca="1">IF(AND($C62="Objetivo",CI$8&gt;=$F62,CI$8&lt;=$F62+$G62-1),2,IF(AND($C62="Hito",CI$8&gt;=$F62,CI$8&lt;=$F62+$G62-1),1,""))</f>
        <v/>
      </c>
      <c r="CJ62" s="5" t="str">
        <f ca="1">IF(AND($C62="Objetivo",CJ$8&gt;=$F62,CJ$8&lt;=$F62+$G62-1),2,IF(AND($C62="Hito",CJ$8&gt;=$F62,CJ$8&lt;=$F62+$G62-1),1,""))</f>
        <v/>
      </c>
      <c r="CK62" s="5" t="str">
        <f ca="1">IF(AND($C62="Objetivo",CK$8&gt;=$F62,CK$8&lt;=$F62+$G62-1),2,IF(AND($C62="Hito",CK$8&gt;=$F62,CK$8&lt;=$F62+$G62-1),1,""))</f>
        <v/>
      </c>
      <c r="CL62" s="5" t="str">
        <f ca="1">IF(AND($C62="Objetivo",CL$8&gt;=$F62,CL$8&lt;=$F62+$G62-1),2,IF(AND($C62="Hito",CL$8&gt;=$F62,CL$8&lt;=$F62+$G62-1),1,""))</f>
        <v/>
      </c>
      <c r="CM62" s="5" t="str">
        <f ca="1">IF(AND($C62="Objetivo",CM$8&gt;=$F62,CM$8&lt;=$F62+$G62-1),2,IF(AND($C62="Hito",CM$8&gt;=$F62,CM$8&lt;=$F62+$G62-1),1,""))</f>
        <v/>
      </c>
      <c r="CN62" s="5" t="str">
        <f ca="1">IF(AND($C62="Objetivo",CN$8&gt;=$F62,CN$8&lt;=$F62+$G62-1),2,IF(AND($C62="Hito",CN$8&gt;=$F62,CN$8&lt;=$F62+$G62-1),1,""))</f>
        <v/>
      </c>
      <c r="CO62" s="5" t="str">
        <f ca="1">IF(AND($C62="Objetivo",CO$8&gt;=$F62,CO$8&lt;=$F62+$G62-1),2,IF(AND($C62="Hito",CO$8&gt;=$F62,CO$8&lt;=$F62+$G62-1),1,""))</f>
        <v/>
      </c>
      <c r="CP62" s="5" t="str">
        <f ca="1">IF(AND($C62="Objetivo",CP$8&gt;=$F62,CP$8&lt;=$F62+$G62-1),2,IF(AND($C62="Hito",CP$8&gt;=$F62,CP$8&lt;=$F62+$G62-1),1,""))</f>
        <v/>
      </c>
      <c r="CQ62" s="5" t="str">
        <f ca="1">IF(AND($C62="Objetivo",CQ$8&gt;=$F62,CQ$8&lt;=$F62+$G62-1),2,IF(AND($C62="Hito",CQ$8&gt;=$F62,CQ$8&lt;=$F62+$G62-1),1,""))</f>
        <v/>
      </c>
      <c r="CR62" s="5" t="str">
        <f ca="1">IF(AND($C62="Objetivo",CR$8&gt;=$F62,CR$8&lt;=$F62+$G62-1),2,IF(AND($C62="Hito",CR$8&gt;=$F62,CR$8&lt;=$F62+$G62-1),1,""))</f>
        <v/>
      </c>
      <c r="CS62" s="5" t="str">
        <f ca="1">IF(AND($C62="Objetivo",CS$8&gt;=$F62,CS$8&lt;=$F62+$G62-1),2,IF(AND($C62="Hito",CS$8&gt;=$F62,CS$8&lt;=$F62+$G62-1),1,""))</f>
        <v/>
      </c>
      <c r="CT62" s="5" t="str">
        <f ca="1">IF(AND($C62="Objetivo",CT$8&gt;=$F62,CT$8&lt;=$F62+$G62-1),2,IF(AND($C62="Hito",CT$8&gt;=$F62,CT$8&lt;=$F62+$G62-1),1,""))</f>
        <v/>
      </c>
      <c r="CU62" s="5" t="str">
        <f ca="1">IF(AND($C62="Objetivo",CU$8&gt;=$F62,CU$8&lt;=$F62+$G62-1),2,IF(AND($C62="Hito",CU$8&gt;=$F62,CU$8&lt;=$F62+$G62-1),1,""))</f>
        <v/>
      </c>
      <c r="CV62" s="5" t="str">
        <f ca="1">IF(AND($C62="Objetivo",CV$8&gt;=$F62,CV$8&lt;=$F62+$G62-1),2,IF(AND($C62="Hito",CV$8&gt;=$F62,CV$8&lt;=$F62+$G62-1),1,""))</f>
        <v/>
      </c>
      <c r="CW62" s="5" t="str">
        <f ca="1">IF(AND($C62="Objetivo",CW$8&gt;=$F62,CW$8&lt;=$F62+$G62-1),2,IF(AND($C62="Hito",CW$8&gt;=$F62,CW$8&lt;=$F62+$G62-1),1,""))</f>
        <v/>
      </c>
      <c r="CX62" s="5" t="str">
        <f ca="1">IF(AND($C62="Objetivo",CX$8&gt;=$F62,CX$8&lt;=$F62+$G62-1),2,IF(AND($C62="Hito",CX$8&gt;=$F62,CX$8&lt;=$F62+$G62-1),1,""))</f>
        <v/>
      </c>
      <c r="CY62" s="5" t="str">
        <f ca="1">IF(AND($C62="Objetivo",CY$8&gt;=$F62,CY$8&lt;=$F62+$G62-1),2,IF(AND($C62="Hito",CY$8&gt;=$F62,CY$8&lt;=$F62+$G62-1),1,""))</f>
        <v/>
      </c>
      <c r="CZ62" s="5" t="str">
        <f ca="1">IF(AND($C62="Objetivo",CZ$8&gt;=$F62,CZ$8&lt;=$F62+$G62-1),2,IF(AND($C62="Hito",CZ$8&gt;=$F62,CZ$8&lt;=$F62+$G62-1),1,""))</f>
        <v/>
      </c>
      <c r="DA62" s="5" t="str">
        <f ca="1">IF(AND($C62="Objetivo",DA$8&gt;=$F62,DA$8&lt;=$F62+$G62-1),2,IF(AND($C62="Hito",DA$8&gt;=$F62,DA$8&lt;=$F62+$G62-1),1,""))</f>
        <v/>
      </c>
      <c r="DB62" s="5" t="str">
        <f ca="1">IF(AND($C62="Objetivo",DB$8&gt;=$F62,DB$8&lt;=$F62+$G62-1),2,IF(AND($C62="Hito",DB$8&gt;=$F62,DB$8&lt;=$F62+$G62-1),1,""))</f>
        <v/>
      </c>
    </row>
    <row r="63" spans="1:106" ht="30" customHeight="1" x14ac:dyDescent="0.25">
      <c r="B63" s="41"/>
      <c r="C63" s="34"/>
      <c r="D63" s="34"/>
      <c r="E63" s="50"/>
      <c r="F63" s="40"/>
      <c r="G63" s="57"/>
      <c r="H63" s="29"/>
      <c r="I63" s="29"/>
      <c r="K63" s="5" t="str">
        <f ca="1">IF(AND($C63="Objetivo",K$8&gt;=$F63,K$8&lt;=$F63+$G63-1),2,IF(AND($C63="Hito",K$8&gt;=$F63,K$8&lt;=$F63+$G63-1),1,""))</f>
        <v/>
      </c>
      <c r="L63" s="5" t="str">
        <f ca="1">IF(AND($C63="Objetivo",L$8&gt;=$F63,L$8&lt;=$F63+$G63-1),2,IF(AND($C63="Hito",L$8&gt;=$F63,L$8&lt;=$F63+$G63-1),1,""))</f>
        <v/>
      </c>
      <c r="M63" s="5" t="str">
        <f ca="1">IF(AND($C63="Objetivo",M$8&gt;=$F63,M$8&lt;=$F63+$G63-1),2,IF(AND($C63="Hito",M$8&gt;=$F63,M$8&lt;=$F63+$G63-1),1,""))</f>
        <v/>
      </c>
      <c r="N63" s="5" t="str">
        <f ca="1">IF(AND($C63="Objetivo",N$8&gt;=$F63,N$8&lt;=$F63+$G63-1),2,IF(AND($C63="Hito",N$8&gt;=$F63,N$8&lt;=$F63+$G63-1),1,""))</f>
        <v/>
      </c>
      <c r="O63" s="5" t="str">
        <f ca="1">IF(AND($C63="Objetivo",O$8&gt;=$F63,O$8&lt;=$F63+$G63-1),2,IF(AND($C63="Hito",O$8&gt;=$F63,O$8&lt;=$F63+$G63-1),1,""))</f>
        <v/>
      </c>
      <c r="P63" s="5" t="str">
        <f ca="1">IF(AND($C63="Objetivo",P$8&gt;=$F63,P$8&lt;=$F63+$G63-1),2,IF(AND($C63="Hito",P$8&gt;=$F63,P$8&lt;=$F63+$G63-1),1,""))</f>
        <v/>
      </c>
      <c r="Q63" s="5" t="str">
        <f ca="1">IF(AND($C63="Objetivo",Q$8&gt;=$F63,Q$8&lt;=$F63+$G63-1),2,IF(AND($C63="Hito",Q$8&gt;=$F63,Q$8&lt;=$F63+$G63-1),1,""))</f>
        <v/>
      </c>
      <c r="R63" s="5" t="str">
        <f ca="1">IF(AND($C63="Objetivo",R$8&gt;=$F63,R$8&lt;=$F63+$G63-1),2,IF(AND($C63="Hito",R$8&gt;=$F63,R$8&lt;=$F63+$G63-1),1,""))</f>
        <v/>
      </c>
      <c r="S63" s="5" t="str">
        <f ca="1">IF(AND($C63="Objetivo",S$8&gt;=$F63,S$8&lt;=$F63+$G63-1),2,IF(AND($C63="Hito",S$8&gt;=$F63,S$8&lt;=$F63+$G63-1),1,""))</f>
        <v/>
      </c>
      <c r="T63" s="5" t="str">
        <f ca="1">IF(AND($C63="Objetivo",T$8&gt;=$F63,T$8&lt;=$F63+$G63-1),2,IF(AND($C63="Hito",T$8&gt;=$F63,T$8&lt;=$F63+$G63-1),1,""))</f>
        <v/>
      </c>
      <c r="U63" s="5" t="str">
        <f ca="1">IF(AND($C63="Objetivo",U$8&gt;=$F63,U$8&lt;=$F63+$G63-1),2,IF(AND($C63="Hito",U$8&gt;=$F63,U$8&lt;=$F63+$G63-1),1,""))</f>
        <v/>
      </c>
      <c r="V63" s="5" t="str">
        <f ca="1">IF(AND($C63="Objetivo",V$8&gt;=$F63,V$8&lt;=$F63+$G63-1),2,IF(AND($C63="Hito",V$8&gt;=$F63,V$8&lt;=$F63+$G63-1),1,""))</f>
        <v/>
      </c>
      <c r="W63" s="5" t="str">
        <f ca="1">IF(AND($C63="Objetivo",W$8&gt;=$F63,W$8&lt;=$F63+$G63-1),2,IF(AND($C63="Hito",W$8&gt;=$F63,W$8&lt;=$F63+$G63-1),1,""))</f>
        <v/>
      </c>
      <c r="X63" s="5" t="str">
        <f ca="1">IF(AND($C63="Objetivo",X$8&gt;=$F63,X$8&lt;=$F63+$G63-1),2,IF(AND($C63="Hito",X$8&gt;=$F63,X$8&lt;=$F63+$G63-1),1,""))</f>
        <v/>
      </c>
      <c r="Y63" s="5" t="str">
        <f ca="1">IF(AND($C63="Objetivo",Y$8&gt;=$F63,Y$8&lt;=$F63+$G63-1),2,IF(AND($C63="Hito",Y$8&gt;=$F63,Y$8&lt;=$F63+$G63-1),1,""))</f>
        <v/>
      </c>
      <c r="Z63" s="5" t="str">
        <f ca="1">IF(AND($C63="Objetivo",Z$8&gt;=$F63,Z$8&lt;=$F63+$G63-1),2,IF(AND($C63="Hito",Z$8&gt;=$F63,Z$8&lt;=$F63+$G63-1),1,""))</f>
        <v/>
      </c>
      <c r="AA63" s="5" t="str">
        <f ca="1">IF(AND($C63="Objetivo",AA$8&gt;=$F63,AA$8&lt;=$F63+$G63-1),2,IF(AND($C63="Hito",AA$8&gt;=$F63,AA$8&lt;=$F63+$G63-1),1,""))</f>
        <v/>
      </c>
      <c r="AB63" s="5" t="str">
        <f ca="1">IF(AND($C63="Objetivo",AB$8&gt;=$F63,AB$8&lt;=$F63+$G63-1),2,IF(AND($C63="Hito",AB$8&gt;=$F63,AB$8&lt;=$F63+$G63-1),1,""))</f>
        <v/>
      </c>
      <c r="AC63" s="5" t="str">
        <f ca="1">IF(AND($C63="Objetivo",AC$8&gt;=$F63,AC$8&lt;=$F63+$G63-1),2,IF(AND($C63="Hito",AC$8&gt;=$F63,AC$8&lt;=$F63+$G63-1),1,""))</f>
        <v/>
      </c>
      <c r="AD63" s="5" t="str">
        <f ca="1">IF(AND($C63="Objetivo",AD$8&gt;=$F63,AD$8&lt;=$F63+$G63-1),2,IF(AND($C63="Hito",AD$8&gt;=$F63,AD$8&lt;=$F63+$G63-1),1,""))</f>
        <v/>
      </c>
      <c r="AE63" s="5" t="str">
        <f ca="1">IF(AND($C63="Objetivo",AE$8&gt;=$F63,AE$8&lt;=$F63+$G63-1),2,IF(AND($C63="Hito",AE$8&gt;=$F63,AE$8&lt;=$F63+$G63-1),1,""))</f>
        <v/>
      </c>
      <c r="AF63" s="5" t="str">
        <f ca="1">IF(AND($C63="Objetivo",AF$8&gt;=$F63,AF$8&lt;=$F63+$G63-1),2,IF(AND($C63="Hito",AF$8&gt;=$F63,AF$8&lt;=$F63+$G63-1),1,""))</f>
        <v/>
      </c>
      <c r="AG63" s="5" t="str">
        <f ca="1">IF(AND($C63="Objetivo",AG$8&gt;=$F63,AG$8&lt;=$F63+$G63-1),2,IF(AND($C63="Hito",AG$8&gt;=$F63,AG$8&lt;=$F63+$G63-1),1,""))</f>
        <v/>
      </c>
      <c r="AH63" s="5" t="str">
        <f ca="1">IF(AND($C63="Objetivo",AH$8&gt;=$F63,AH$8&lt;=$F63+$G63-1),2,IF(AND($C63="Hito",AH$8&gt;=$F63,AH$8&lt;=$F63+$G63-1),1,""))</f>
        <v/>
      </c>
      <c r="AI63" s="5" t="str">
        <f ca="1">IF(AND($C63="Objetivo",AI$8&gt;=$F63,AI$8&lt;=$F63+$G63-1),2,IF(AND($C63="Hito",AI$8&gt;=$F63,AI$8&lt;=$F63+$G63-1),1,""))</f>
        <v/>
      </c>
      <c r="AJ63" s="5" t="str">
        <f ca="1">IF(AND($C63="Objetivo",AJ$8&gt;=$F63,AJ$8&lt;=$F63+$G63-1),2,IF(AND($C63="Hito",AJ$8&gt;=$F63,AJ$8&lt;=$F63+$G63-1),1,""))</f>
        <v/>
      </c>
      <c r="AK63" s="5" t="str">
        <f ca="1">IF(AND($C63="Objetivo",AK$8&gt;=$F63,AK$8&lt;=$F63+$G63-1),2,IF(AND($C63="Hito",AK$8&gt;=$F63,AK$8&lt;=$F63+$G63-1),1,""))</f>
        <v/>
      </c>
      <c r="AL63" s="5" t="str">
        <f ca="1">IF(AND($C63="Objetivo",AL$8&gt;=$F63,AL$8&lt;=$F63+$G63-1),2,IF(AND($C63="Hito",AL$8&gt;=$F63,AL$8&lt;=$F63+$G63-1),1,""))</f>
        <v/>
      </c>
      <c r="AM63" s="5" t="str">
        <f ca="1">IF(AND($C63="Objetivo",AM$8&gt;=$F63,AM$8&lt;=$F63+$G63-1),2,IF(AND($C63="Hito",AM$8&gt;=$F63,AM$8&lt;=$F63+$G63-1),1,""))</f>
        <v/>
      </c>
      <c r="AN63" s="5" t="str">
        <f ca="1">IF(AND($C63="Objetivo",AN$8&gt;=$F63,AN$8&lt;=$F63+$G63-1),2,IF(AND($C63="Hito",AN$8&gt;=$F63,AN$8&lt;=$F63+$G63-1),1,""))</f>
        <v/>
      </c>
      <c r="AO63" s="5" t="str">
        <f ca="1">IF(AND($C63="Objetivo",AO$8&gt;=$F63,AO$8&lt;=$F63+$G63-1),2,IF(AND($C63="Hito",AO$8&gt;=$F63,AO$8&lt;=$F63+$G63-1),1,""))</f>
        <v/>
      </c>
      <c r="AP63" s="5" t="str">
        <f ca="1">IF(AND($C63="Objetivo",AP$8&gt;=$F63,AP$8&lt;=$F63+$G63-1),2,IF(AND($C63="Hito",AP$8&gt;=$F63,AP$8&lt;=$F63+$G63-1),1,""))</f>
        <v/>
      </c>
      <c r="AQ63" s="5" t="str">
        <f ca="1">IF(AND($C63="Objetivo",AQ$8&gt;=$F63,AQ$8&lt;=$F63+$G63-1),2,IF(AND($C63="Hito",AQ$8&gt;=$F63,AQ$8&lt;=$F63+$G63-1),1,""))</f>
        <v/>
      </c>
      <c r="AR63" s="5" t="str">
        <f ca="1">IF(AND($C63="Objetivo",AR$8&gt;=$F63,AR$8&lt;=$F63+$G63-1),2,IF(AND($C63="Hito",AR$8&gt;=$F63,AR$8&lt;=$F63+$G63-1),1,""))</f>
        <v/>
      </c>
      <c r="AS63" s="5" t="str">
        <f ca="1">IF(AND($C63="Objetivo",AS$8&gt;=$F63,AS$8&lt;=$F63+$G63-1),2,IF(AND($C63="Hito",AS$8&gt;=$F63,AS$8&lt;=$F63+$G63-1),1,""))</f>
        <v/>
      </c>
      <c r="AT63" s="5" t="str">
        <f ca="1">IF(AND($C63="Objetivo",AT$8&gt;=$F63,AT$8&lt;=$F63+$G63-1),2,IF(AND($C63="Hito",AT$8&gt;=$F63,AT$8&lt;=$F63+$G63-1),1,""))</f>
        <v/>
      </c>
      <c r="AU63" s="5" t="str">
        <f ca="1">IF(AND($C63="Objetivo",AU$8&gt;=$F63,AU$8&lt;=$F63+$G63-1),2,IF(AND($C63="Hito",AU$8&gt;=$F63,AU$8&lt;=$F63+$G63-1),1,""))</f>
        <v/>
      </c>
      <c r="AV63" s="5" t="str">
        <f ca="1">IF(AND($C63="Objetivo",AV$8&gt;=$F63,AV$8&lt;=$F63+$G63-1),2,IF(AND($C63="Hito",AV$8&gt;=$F63,AV$8&lt;=$F63+$G63-1),1,""))</f>
        <v/>
      </c>
      <c r="AW63" s="5" t="str">
        <f ca="1">IF(AND($C63="Objetivo",AW$8&gt;=$F63,AW$8&lt;=$F63+$G63-1),2,IF(AND($C63="Hito",AW$8&gt;=$F63,AW$8&lt;=$F63+$G63-1),1,""))</f>
        <v/>
      </c>
      <c r="AX63" s="5" t="str">
        <f ca="1">IF(AND($C63="Objetivo",AX$8&gt;=$F63,AX$8&lt;=$F63+$G63-1),2,IF(AND($C63="Hito",AX$8&gt;=$F63,AX$8&lt;=$F63+$G63-1),1,""))</f>
        <v/>
      </c>
      <c r="AY63" s="5" t="str">
        <f ca="1">IF(AND($C63="Objetivo",AY$8&gt;=$F63,AY$8&lt;=$F63+$G63-1),2,IF(AND($C63="Hito",AY$8&gt;=$F63,AY$8&lt;=$F63+$G63-1),1,""))</f>
        <v/>
      </c>
      <c r="AZ63" s="5" t="str">
        <f ca="1">IF(AND($C63="Objetivo",AZ$8&gt;=$F63,AZ$8&lt;=$F63+$G63-1),2,IF(AND($C63="Hito",AZ$8&gt;=$F63,AZ$8&lt;=$F63+$G63-1),1,""))</f>
        <v/>
      </c>
      <c r="BA63" s="5" t="str">
        <f ca="1">IF(AND($C63="Objetivo",BA$8&gt;=$F63,BA$8&lt;=$F63+$G63-1),2,IF(AND($C63="Hito",BA$8&gt;=$F63,BA$8&lt;=$F63+$G63-1),1,""))</f>
        <v/>
      </c>
      <c r="BB63" s="5" t="str">
        <f ca="1">IF(AND($C63="Objetivo",BB$8&gt;=$F63,BB$8&lt;=$F63+$G63-1),2,IF(AND($C63="Hito",BB$8&gt;=$F63,BB$8&lt;=$F63+$G63-1),1,""))</f>
        <v/>
      </c>
      <c r="BC63" s="5" t="str">
        <f ca="1">IF(AND($C63="Objetivo",BC$8&gt;=$F63,BC$8&lt;=$F63+$G63-1),2,IF(AND($C63="Hito",BC$8&gt;=$F63,BC$8&lt;=$F63+$G63-1),1,""))</f>
        <v/>
      </c>
      <c r="BD63" s="5" t="str">
        <f ca="1">IF(AND($C63="Objetivo",BD$8&gt;=$F63,BD$8&lt;=$F63+$G63-1),2,IF(AND($C63="Hito",BD$8&gt;=$F63,BD$8&lt;=$F63+$G63-1),1,""))</f>
        <v/>
      </c>
      <c r="BE63" s="5" t="str">
        <f ca="1">IF(AND($C63="Objetivo",BE$8&gt;=$F63,BE$8&lt;=$F63+$G63-1),2,IF(AND($C63="Hito",BE$8&gt;=$F63,BE$8&lt;=$F63+$G63-1),1,""))</f>
        <v/>
      </c>
      <c r="BF63" s="5" t="str">
        <f ca="1">IF(AND($C63="Objetivo",BF$8&gt;=$F63,BF$8&lt;=$F63+$G63-1),2,IF(AND($C63="Hito",BF$8&gt;=$F63,BF$8&lt;=$F63+$G63-1),1,""))</f>
        <v/>
      </c>
      <c r="BG63" s="5" t="str">
        <f ca="1">IF(AND($C63="Objetivo",BG$8&gt;=$F63,BG$8&lt;=$F63+$G63-1),2,IF(AND($C63="Hito",BG$8&gt;=$F63,BG$8&lt;=$F63+$G63-1),1,""))</f>
        <v/>
      </c>
      <c r="BH63" s="5" t="str">
        <f ca="1">IF(AND($C63="Objetivo",BH$8&gt;=$F63,BH$8&lt;=$F63+$G63-1),2,IF(AND($C63="Hito",BH$8&gt;=$F63,BH$8&lt;=$F63+$G63-1),1,""))</f>
        <v/>
      </c>
      <c r="BI63" s="5" t="str">
        <f ca="1">IF(AND($C63="Objetivo",BI$8&gt;=$F63,BI$8&lt;=$F63+$G63-1),2,IF(AND($C63="Hito",BI$8&gt;=$F63,BI$8&lt;=$F63+$G63-1),1,""))</f>
        <v/>
      </c>
      <c r="BJ63" s="5" t="str">
        <f ca="1">IF(AND($C63="Objetivo",BJ$8&gt;=$F63,BJ$8&lt;=$F63+$G63-1),2,IF(AND($C63="Hito",BJ$8&gt;=$F63,BJ$8&lt;=$F63+$G63-1),1,""))</f>
        <v/>
      </c>
      <c r="BK63" s="5" t="str">
        <f ca="1">IF(AND($C63="Objetivo",BK$8&gt;=$F63,BK$8&lt;=$F63+$G63-1),2,IF(AND($C63="Hito",BK$8&gt;=$F63,BK$8&lt;=$F63+$G63-1),1,""))</f>
        <v/>
      </c>
      <c r="BL63" s="5" t="str">
        <f ca="1">IF(AND($C63="Objetivo",BL$8&gt;=$F63,BL$8&lt;=$F63+$G63-1),2,IF(AND($C63="Hito",BL$8&gt;=$F63,BL$8&lt;=$F63+$G63-1),1,""))</f>
        <v/>
      </c>
      <c r="BM63" s="5" t="str">
        <f ca="1">IF(AND($C63="Objetivo",BM$8&gt;=$F63,BM$8&lt;=$F63+$G63-1),2,IF(AND($C63="Hito",BM$8&gt;=$F63,BM$8&lt;=$F63+$G63-1),1,""))</f>
        <v/>
      </c>
      <c r="BN63" s="5" t="str">
        <f ca="1">IF(AND($C63="Objetivo",BN$8&gt;=$F63,BN$8&lt;=$F63+$G63-1),2,IF(AND($C63="Hito",BN$8&gt;=$F63,BN$8&lt;=$F63+$G63-1),1,""))</f>
        <v/>
      </c>
      <c r="BO63" s="5" t="str">
        <f ca="1">IF(AND($C63="Objetivo",BO$8&gt;=$F63,BO$8&lt;=$F63+$G63-1),2,IF(AND($C63="Hito",BO$8&gt;=$F63,BO$8&lt;=$F63+$G63-1),1,""))</f>
        <v/>
      </c>
      <c r="BP63" s="5" t="str">
        <f ca="1">IF(AND($C63="Objetivo",BP$8&gt;=$F63,BP$8&lt;=$F63+$G63-1),2,IF(AND($C63="Hito",BP$8&gt;=$F63,BP$8&lt;=$F63+$G63-1),1,""))</f>
        <v/>
      </c>
      <c r="BQ63" s="5" t="str">
        <f ca="1">IF(AND($C63="Objetivo",BQ$8&gt;=$F63,BQ$8&lt;=$F63+$G63-1),2,IF(AND($C63="Hito",BQ$8&gt;=$F63,BQ$8&lt;=$F63+$G63-1),1,""))</f>
        <v/>
      </c>
      <c r="BR63" s="5" t="str">
        <f ca="1">IF(AND($C63="Objetivo",BR$8&gt;=$F63,BR$8&lt;=$F63+$G63-1),2,IF(AND($C63="Hito",BR$8&gt;=$F63,BR$8&lt;=$F63+$G63-1),1,""))</f>
        <v/>
      </c>
      <c r="BS63" s="5" t="str">
        <f ca="1">IF(AND($C63="Objetivo",BS$8&gt;=$F63,BS$8&lt;=$F63+$G63-1),2,IF(AND($C63="Hito",BS$8&gt;=$F63,BS$8&lt;=$F63+$G63-1),1,""))</f>
        <v/>
      </c>
      <c r="BT63" s="5" t="str">
        <f ca="1">IF(AND($C63="Objetivo",BT$8&gt;=$F63,BT$8&lt;=$F63+$G63-1),2,IF(AND($C63="Hito",BT$8&gt;=$F63,BT$8&lt;=$F63+$G63-1),1,""))</f>
        <v/>
      </c>
      <c r="BU63" s="5" t="str">
        <f ca="1">IF(AND($C63="Objetivo",BU$8&gt;=$F63,BU$8&lt;=$F63+$G63-1),2,IF(AND($C63="Hito",BU$8&gt;=$F63,BU$8&lt;=$F63+$G63-1),1,""))</f>
        <v/>
      </c>
      <c r="BV63" s="5" t="str">
        <f ca="1">IF(AND($C63="Objetivo",BV$8&gt;=$F63,BV$8&lt;=$F63+$G63-1),2,IF(AND($C63="Hito",BV$8&gt;=$F63,BV$8&lt;=$F63+$G63-1),1,""))</f>
        <v/>
      </c>
      <c r="BW63" s="5" t="str">
        <f ca="1">IF(AND($C63="Objetivo",BW$8&gt;=$F63,BW$8&lt;=$F63+$G63-1),2,IF(AND($C63="Hito",BW$8&gt;=$F63,BW$8&lt;=$F63+$G63-1),1,""))</f>
        <v/>
      </c>
      <c r="BX63" s="5" t="str">
        <f ca="1">IF(AND($C63="Objetivo",BX$8&gt;=$F63,BX$8&lt;=$F63+$G63-1),2,IF(AND($C63="Hito",BX$8&gt;=$F63,BX$8&lt;=$F63+$G63-1),1,""))</f>
        <v/>
      </c>
      <c r="BY63" s="5" t="str">
        <f ca="1">IF(AND($C63="Objetivo",BY$8&gt;=$F63,BY$8&lt;=$F63+$G63-1),2,IF(AND($C63="Hito",BY$8&gt;=$F63,BY$8&lt;=$F63+$G63-1),1,""))</f>
        <v/>
      </c>
      <c r="BZ63" s="5" t="str">
        <f ca="1">IF(AND($C63="Objetivo",BZ$8&gt;=$F63,BZ$8&lt;=$F63+$G63-1),2,IF(AND($C63="Hito",BZ$8&gt;=$F63,BZ$8&lt;=$F63+$G63-1),1,""))</f>
        <v/>
      </c>
      <c r="CA63" s="5" t="str">
        <f ca="1">IF(AND($C63="Objetivo",CA$8&gt;=$F63,CA$8&lt;=$F63+$G63-1),2,IF(AND($C63="Hito",CA$8&gt;=$F63,CA$8&lt;=$F63+$G63-1),1,""))</f>
        <v/>
      </c>
      <c r="CB63" s="5" t="str">
        <f ca="1">IF(AND($C63="Objetivo",CB$8&gt;=$F63,CB$8&lt;=$F63+$G63-1),2,IF(AND($C63="Hito",CB$8&gt;=$F63,CB$8&lt;=$F63+$G63-1),1,""))</f>
        <v/>
      </c>
      <c r="CC63" s="5" t="str">
        <f ca="1">IF(AND($C63="Objetivo",CC$8&gt;=$F63,CC$8&lt;=$F63+$G63-1),2,IF(AND($C63="Hito",CC$8&gt;=$F63,CC$8&lt;=$F63+$G63-1),1,""))</f>
        <v/>
      </c>
      <c r="CD63" s="5" t="str">
        <f ca="1">IF(AND($C63="Objetivo",CD$8&gt;=$F63,CD$8&lt;=$F63+$G63-1),2,IF(AND($C63="Hito",CD$8&gt;=$F63,CD$8&lt;=$F63+$G63-1),1,""))</f>
        <v/>
      </c>
      <c r="CE63" s="5" t="str">
        <f ca="1">IF(AND($C63="Objetivo",CE$8&gt;=$F63,CE$8&lt;=$F63+$G63-1),2,IF(AND($C63="Hito",CE$8&gt;=$F63,CE$8&lt;=$F63+$G63-1),1,""))</f>
        <v/>
      </c>
      <c r="CF63" s="5" t="str">
        <f ca="1">IF(AND($C63="Objetivo",CF$8&gt;=$F63,CF$8&lt;=$F63+$G63-1),2,IF(AND($C63="Hito",CF$8&gt;=$F63,CF$8&lt;=$F63+$G63-1),1,""))</f>
        <v/>
      </c>
      <c r="CG63" s="5" t="str">
        <f ca="1">IF(AND($C63="Objetivo",CG$8&gt;=$F63,CG$8&lt;=$F63+$G63-1),2,IF(AND($C63="Hito",CG$8&gt;=$F63,CG$8&lt;=$F63+$G63-1),1,""))</f>
        <v/>
      </c>
      <c r="CH63" s="5" t="str">
        <f ca="1">IF(AND($C63="Objetivo",CH$8&gt;=$F63,CH$8&lt;=$F63+$G63-1),2,IF(AND($C63="Hito",CH$8&gt;=$F63,CH$8&lt;=$F63+$G63-1),1,""))</f>
        <v/>
      </c>
      <c r="CI63" s="5" t="str">
        <f ca="1">IF(AND($C63="Objetivo",CI$8&gt;=$F63,CI$8&lt;=$F63+$G63-1),2,IF(AND($C63="Hito",CI$8&gt;=$F63,CI$8&lt;=$F63+$G63-1),1,""))</f>
        <v/>
      </c>
      <c r="CJ63" s="5" t="str">
        <f ca="1">IF(AND($C63="Objetivo",CJ$8&gt;=$F63,CJ$8&lt;=$F63+$G63-1),2,IF(AND($C63="Hito",CJ$8&gt;=$F63,CJ$8&lt;=$F63+$G63-1),1,""))</f>
        <v/>
      </c>
      <c r="CK63" s="5" t="str">
        <f ca="1">IF(AND($C63="Objetivo",CK$8&gt;=$F63,CK$8&lt;=$F63+$G63-1),2,IF(AND($C63="Hito",CK$8&gt;=$F63,CK$8&lt;=$F63+$G63-1),1,""))</f>
        <v/>
      </c>
      <c r="CL63" s="5" t="str">
        <f ca="1">IF(AND($C63="Objetivo",CL$8&gt;=$F63,CL$8&lt;=$F63+$G63-1),2,IF(AND($C63="Hito",CL$8&gt;=$F63,CL$8&lt;=$F63+$G63-1),1,""))</f>
        <v/>
      </c>
      <c r="CM63" s="5" t="str">
        <f ca="1">IF(AND($C63="Objetivo",CM$8&gt;=$F63,CM$8&lt;=$F63+$G63-1),2,IF(AND($C63="Hito",CM$8&gt;=$F63,CM$8&lt;=$F63+$G63-1),1,""))</f>
        <v/>
      </c>
      <c r="CN63" s="5" t="str">
        <f ca="1">IF(AND($C63="Objetivo",CN$8&gt;=$F63,CN$8&lt;=$F63+$G63-1),2,IF(AND($C63="Hito",CN$8&gt;=$F63,CN$8&lt;=$F63+$G63-1),1,""))</f>
        <v/>
      </c>
      <c r="CO63" s="5" t="str">
        <f ca="1">IF(AND($C63="Objetivo",CO$8&gt;=$F63,CO$8&lt;=$F63+$G63-1),2,IF(AND($C63="Hito",CO$8&gt;=$F63,CO$8&lt;=$F63+$G63-1),1,""))</f>
        <v/>
      </c>
      <c r="CP63" s="5" t="str">
        <f ca="1">IF(AND($C63="Objetivo",CP$8&gt;=$F63,CP$8&lt;=$F63+$G63-1),2,IF(AND($C63="Hito",CP$8&gt;=$F63,CP$8&lt;=$F63+$G63-1),1,""))</f>
        <v/>
      </c>
      <c r="CQ63" s="5" t="str">
        <f ca="1">IF(AND($C63="Objetivo",CQ$8&gt;=$F63,CQ$8&lt;=$F63+$G63-1),2,IF(AND($C63="Hito",CQ$8&gt;=$F63,CQ$8&lt;=$F63+$G63-1),1,""))</f>
        <v/>
      </c>
      <c r="CR63" s="5" t="str">
        <f ca="1">IF(AND($C63="Objetivo",CR$8&gt;=$F63,CR$8&lt;=$F63+$G63-1),2,IF(AND($C63="Hito",CR$8&gt;=$F63,CR$8&lt;=$F63+$G63-1),1,""))</f>
        <v/>
      </c>
      <c r="CS63" s="5" t="str">
        <f ca="1">IF(AND($C63="Objetivo",CS$8&gt;=$F63,CS$8&lt;=$F63+$G63-1),2,IF(AND($C63="Hito",CS$8&gt;=$F63,CS$8&lt;=$F63+$G63-1),1,""))</f>
        <v/>
      </c>
      <c r="CT63" s="5" t="str">
        <f ca="1">IF(AND($C63="Objetivo",CT$8&gt;=$F63,CT$8&lt;=$F63+$G63-1),2,IF(AND($C63="Hito",CT$8&gt;=$F63,CT$8&lt;=$F63+$G63-1),1,""))</f>
        <v/>
      </c>
      <c r="CU63" s="5" t="str">
        <f ca="1">IF(AND($C63="Objetivo",CU$8&gt;=$F63,CU$8&lt;=$F63+$G63-1),2,IF(AND($C63="Hito",CU$8&gt;=$F63,CU$8&lt;=$F63+$G63-1),1,""))</f>
        <v/>
      </c>
      <c r="CV63" s="5" t="str">
        <f ca="1">IF(AND($C63="Objetivo",CV$8&gt;=$F63,CV$8&lt;=$F63+$G63-1),2,IF(AND($C63="Hito",CV$8&gt;=$F63,CV$8&lt;=$F63+$G63-1),1,""))</f>
        <v/>
      </c>
      <c r="CW63" s="5" t="str">
        <f ca="1">IF(AND($C63="Objetivo",CW$8&gt;=$F63,CW$8&lt;=$F63+$G63-1),2,IF(AND($C63="Hito",CW$8&gt;=$F63,CW$8&lt;=$F63+$G63-1),1,""))</f>
        <v/>
      </c>
      <c r="CX63" s="5" t="str">
        <f ca="1">IF(AND($C63="Objetivo",CX$8&gt;=$F63,CX$8&lt;=$F63+$G63-1),2,IF(AND($C63="Hito",CX$8&gt;=$F63,CX$8&lt;=$F63+$G63-1),1,""))</f>
        <v/>
      </c>
      <c r="CY63" s="5" t="str">
        <f ca="1">IF(AND($C63="Objetivo",CY$8&gt;=$F63,CY$8&lt;=$F63+$G63-1),2,IF(AND($C63="Hito",CY$8&gt;=$F63,CY$8&lt;=$F63+$G63-1),1,""))</f>
        <v/>
      </c>
      <c r="CZ63" s="5" t="str">
        <f ca="1">IF(AND($C63="Objetivo",CZ$8&gt;=$F63,CZ$8&lt;=$F63+$G63-1),2,IF(AND($C63="Hito",CZ$8&gt;=$F63,CZ$8&lt;=$F63+$G63-1),1,""))</f>
        <v/>
      </c>
      <c r="DA63" s="5" t="str">
        <f ca="1">IF(AND($C63="Objetivo",DA$8&gt;=$F63,DA$8&lt;=$F63+$G63-1),2,IF(AND($C63="Hito",DA$8&gt;=$F63,DA$8&lt;=$F63+$G63-1),1,""))</f>
        <v/>
      </c>
      <c r="DB63" s="5" t="str">
        <f ca="1">IF(AND($C63="Objetivo",DB$8&gt;=$F63,DB$8&lt;=$F63+$G63-1),2,IF(AND($C63="Hito",DB$8&gt;=$F63,DB$8&lt;=$F63+$G63-1),1,""))</f>
        <v/>
      </c>
    </row>
    <row r="64" spans="1:106" ht="30" customHeight="1" x14ac:dyDescent="0.25">
      <c r="B64" s="41"/>
      <c r="C64" s="34"/>
      <c r="D64" s="34"/>
      <c r="E64" s="50"/>
      <c r="F64" s="40"/>
      <c r="G64" s="57"/>
      <c r="H64" s="29"/>
      <c r="I64" s="29"/>
      <c r="K64" s="5" t="str">
        <f ca="1">IF(AND($C64="Objetivo",K$8&gt;=$F64,K$8&lt;=$F64+$G64-1),2,IF(AND($C64="Hito",K$8&gt;=$F64,K$8&lt;=$F64+$G64-1),1,""))</f>
        <v/>
      </c>
      <c r="L64" s="5" t="str">
        <f ca="1">IF(AND($C64="Objetivo",L$8&gt;=$F64,L$8&lt;=$F64+$G64-1),2,IF(AND($C64="Hito",L$8&gt;=$F64,L$8&lt;=$F64+$G64-1),1,""))</f>
        <v/>
      </c>
      <c r="M64" s="5" t="str">
        <f ca="1">IF(AND($C64="Objetivo",M$8&gt;=$F64,M$8&lt;=$F64+$G64-1),2,IF(AND($C64="Hito",M$8&gt;=$F64,M$8&lt;=$F64+$G64-1),1,""))</f>
        <v/>
      </c>
      <c r="N64" s="5" t="str">
        <f ca="1">IF(AND($C64="Objetivo",N$8&gt;=$F64,N$8&lt;=$F64+$G64-1),2,IF(AND($C64="Hito",N$8&gt;=$F64,N$8&lt;=$F64+$G64-1),1,""))</f>
        <v/>
      </c>
      <c r="O64" s="5" t="str">
        <f ca="1">IF(AND($C64="Objetivo",O$8&gt;=$F64,O$8&lt;=$F64+$G64-1),2,IF(AND($C64="Hito",O$8&gt;=$F64,O$8&lt;=$F64+$G64-1),1,""))</f>
        <v/>
      </c>
      <c r="P64" s="5" t="str">
        <f ca="1">IF(AND($C64="Objetivo",P$8&gt;=$F64,P$8&lt;=$F64+$G64-1),2,IF(AND($C64="Hito",P$8&gt;=$F64,P$8&lt;=$F64+$G64-1),1,""))</f>
        <v/>
      </c>
      <c r="Q64" s="5" t="str">
        <f ca="1">IF(AND($C64="Objetivo",Q$8&gt;=$F64,Q$8&lt;=$F64+$G64-1),2,IF(AND($C64="Hito",Q$8&gt;=$F64,Q$8&lt;=$F64+$G64-1),1,""))</f>
        <v/>
      </c>
      <c r="R64" s="5" t="str">
        <f ca="1">IF(AND($C64="Objetivo",R$8&gt;=$F64,R$8&lt;=$F64+$G64-1),2,IF(AND($C64="Hito",R$8&gt;=$F64,R$8&lt;=$F64+$G64-1),1,""))</f>
        <v/>
      </c>
      <c r="S64" s="5" t="str">
        <f ca="1">IF(AND($C64="Objetivo",S$8&gt;=$F64,S$8&lt;=$F64+$G64-1),2,IF(AND($C64="Hito",S$8&gt;=$F64,S$8&lt;=$F64+$G64-1),1,""))</f>
        <v/>
      </c>
      <c r="T64" s="5" t="str">
        <f ca="1">IF(AND($C64="Objetivo",T$8&gt;=$F64,T$8&lt;=$F64+$G64-1),2,IF(AND($C64="Hito",T$8&gt;=$F64,T$8&lt;=$F64+$G64-1),1,""))</f>
        <v/>
      </c>
      <c r="U64" s="5" t="str">
        <f ca="1">IF(AND($C64="Objetivo",U$8&gt;=$F64,U$8&lt;=$F64+$G64-1),2,IF(AND($C64="Hito",U$8&gt;=$F64,U$8&lt;=$F64+$G64-1),1,""))</f>
        <v/>
      </c>
      <c r="V64" s="5" t="str">
        <f ca="1">IF(AND($C64="Objetivo",V$8&gt;=$F64,V$8&lt;=$F64+$G64-1),2,IF(AND($C64="Hito",V$8&gt;=$F64,V$8&lt;=$F64+$G64-1),1,""))</f>
        <v/>
      </c>
      <c r="W64" s="5" t="str">
        <f ca="1">IF(AND($C64="Objetivo",W$8&gt;=$F64,W$8&lt;=$F64+$G64-1),2,IF(AND($C64="Hito",W$8&gt;=$F64,W$8&lt;=$F64+$G64-1),1,""))</f>
        <v/>
      </c>
      <c r="X64" s="5" t="str">
        <f ca="1">IF(AND($C64="Objetivo",X$8&gt;=$F64,X$8&lt;=$F64+$G64-1),2,IF(AND($C64="Hito",X$8&gt;=$F64,X$8&lt;=$F64+$G64-1),1,""))</f>
        <v/>
      </c>
      <c r="Y64" s="5" t="str">
        <f ca="1">IF(AND($C64="Objetivo",Y$8&gt;=$F64,Y$8&lt;=$F64+$G64-1),2,IF(AND($C64="Hito",Y$8&gt;=$F64,Y$8&lt;=$F64+$G64-1),1,""))</f>
        <v/>
      </c>
      <c r="Z64" s="5" t="str">
        <f ca="1">IF(AND($C64="Objetivo",Z$8&gt;=$F64,Z$8&lt;=$F64+$G64-1),2,IF(AND($C64="Hito",Z$8&gt;=$F64,Z$8&lt;=$F64+$G64-1),1,""))</f>
        <v/>
      </c>
      <c r="AA64" s="5" t="str">
        <f ca="1">IF(AND($C64="Objetivo",AA$8&gt;=$F64,AA$8&lt;=$F64+$G64-1),2,IF(AND($C64="Hito",AA$8&gt;=$F64,AA$8&lt;=$F64+$G64-1),1,""))</f>
        <v/>
      </c>
      <c r="AB64" s="5" t="str">
        <f ca="1">IF(AND($C64="Objetivo",AB$8&gt;=$F64,AB$8&lt;=$F64+$G64-1),2,IF(AND($C64="Hito",AB$8&gt;=$F64,AB$8&lt;=$F64+$G64-1),1,""))</f>
        <v/>
      </c>
      <c r="AC64" s="5" t="str">
        <f ca="1">IF(AND($C64="Objetivo",AC$8&gt;=$F64,AC$8&lt;=$F64+$G64-1),2,IF(AND($C64="Hito",AC$8&gt;=$F64,AC$8&lt;=$F64+$G64-1),1,""))</f>
        <v/>
      </c>
      <c r="AD64" s="5" t="str">
        <f ca="1">IF(AND($C64="Objetivo",AD$8&gt;=$F64,AD$8&lt;=$F64+$G64-1),2,IF(AND($C64="Hito",AD$8&gt;=$F64,AD$8&lt;=$F64+$G64-1),1,""))</f>
        <v/>
      </c>
      <c r="AE64" s="5" t="str">
        <f ca="1">IF(AND($C64="Objetivo",AE$8&gt;=$F64,AE$8&lt;=$F64+$G64-1),2,IF(AND($C64="Hito",AE$8&gt;=$F64,AE$8&lt;=$F64+$G64-1),1,""))</f>
        <v/>
      </c>
      <c r="AF64" s="5" t="str">
        <f ca="1">IF(AND($C64="Objetivo",AF$8&gt;=$F64,AF$8&lt;=$F64+$G64-1),2,IF(AND($C64="Hito",AF$8&gt;=$F64,AF$8&lt;=$F64+$G64-1),1,""))</f>
        <v/>
      </c>
      <c r="AG64" s="5" t="str">
        <f ca="1">IF(AND($C64="Objetivo",AG$8&gt;=$F64,AG$8&lt;=$F64+$G64-1),2,IF(AND($C64="Hito",AG$8&gt;=$F64,AG$8&lt;=$F64+$G64-1),1,""))</f>
        <v/>
      </c>
      <c r="AH64" s="5" t="str">
        <f ca="1">IF(AND($C64="Objetivo",AH$8&gt;=$F64,AH$8&lt;=$F64+$G64-1),2,IF(AND($C64="Hito",AH$8&gt;=$F64,AH$8&lt;=$F64+$G64-1),1,""))</f>
        <v/>
      </c>
      <c r="AI64" s="5" t="str">
        <f ca="1">IF(AND($C64="Objetivo",AI$8&gt;=$F64,AI$8&lt;=$F64+$G64-1),2,IF(AND($C64="Hito",AI$8&gt;=$F64,AI$8&lt;=$F64+$G64-1),1,""))</f>
        <v/>
      </c>
      <c r="AJ64" s="5" t="str">
        <f ca="1">IF(AND($C64="Objetivo",AJ$8&gt;=$F64,AJ$8&lt;=$F64+$G64-1),2,IF(AND($C64="Hito",AJ$8&gt;=$F64,AJ$8&lt;=$F64+$G64-1),1,""))</f>
        <v/>
      </c>
      <c r="AK64" s="5" t="str">
        <f ca="1">IF(AND($C64="Objetivo",AK$8&gt;=$F64,AK$8&lt;=$F64+$G64-1),2,IF(AND($C64="Hito",AK$8&gt;=$F64,AK$8&lt;=$F64+$G64-1),1,""))</f>
        <v/>
      </c>
      <c r="AL64" s="5" t="str">
        <f ca="1">IF(AND($C64="Objetivo",AL$8&gt;=$F64,AL$8&lt;=$F64+$G64-1),2,IF(AND($C64="Hito",AL$8&gt;=$F64,AL$8&lt;=$F64+$G64-1),1,""))</f>
        <v/>
      </c>
      <c r="AM64" s="5" t="str">
        <f ca="1">IF(AND($C64="Objetivo",AM$8&gt;=$F64,AM$8&lt;=$F64+$G64-1),2,IF(AND($C64="Hito",AM$8&gt;=$F64,AM$8&lt;=$F64+$G64-1),1,""))</f>
        <v/>
      </c>
      <c r="AN64" s="5" t="str">
        <f ca="1">IF(AND($C64="Objetivo",AN$8&gt;=$F64,AN$8&lt;=$F64+$G64-1),2,IF(AND($C64="Hito",AN$8&gt;=$F64,AN$8&lt;=$F64+$G64-1),1,""))</f>
        <v/>
      </c>
      <c r="AO64" s="5" t="str">
        <f ca="1">IF(AND($C64="Objetivo",AO$8&gt;=$F64,AO$8&lt;=$F64+$G64-1),2,IF(AND($C64="Hito",AO$8&gt;=$F64,AO$8&lt;=$F64+$G64-1),1,""))</f>
        <v/>
      </c>
      <c r="AP64" s="5" t="str">
        <f ca="1">IF(AND($C64="Objetivo",AP$8&gt;=$F64,AP$8&lt;=$F64+$G64-1),2,IF(AND($C64="Hito",AP$8&gt;=$F64,AP$8&lt;=$F64+$G64-1),1,""))</f>
        <v/>
      </c>
      <c r="AQ64" s="5" t="str">
        <f ca="1">IF(AND($C64="Objetivo",AQ$8&gt;=$F64,AQ$8&lt;=$F64+$G64-1),2,IF(AND($C64="Hito",AQ$8&gt;=$F64,AQ$8&lt;=$F64+$G64-1),1,""))</f>
        <v/>
      </c>
      <c r="AR64" s="5" t="str">
        <f ca="1">IF(AND($C64="Objetivo",AR$8&gt;=$F64,AR$8&lt;=$F64+$G64-1),2,IF(AND($C64="Hito",AR$8&gt;=$F64,AR$8&lt;=$F64+$G64-1),1,""))</f>
        <v/>
      </c>
      <c r="AS64" s="5" t="str">
        <f ca="1">IF(AND($C64="Objetivo",AS$8&gt;=$F64,AS$8&lt;=$F64+$G64-1),2,IF(AND($C64="Hito",AS$8&gt;=$F64,AS$8&lt;=$F64+$G64-1),1,""))</f>
        <v/>
      </c>
      <c r="AT64" s="5" t="str">
        <f ca="1">IF(AND($C64="Objetivo",AT$8&gt;=$F64,AT$8&lt;=$F64+$G64-1),2,IF(AND($C64="Hito",AT$8&gt;=$F64,AT$8&lt;=$F64+$G64-1),1,""))</f>
        <v/>
      </c>
      <c r="AU64" s="5" t="str">
        <f ca="1">IF(AND($C64="Objetivo",AU$8&gt;=$F64,AU$8&lt;=$F64+$G64-1),2,IF(AND($C64="Hito",AU$8&gt;=$F64,AU$8&lt;=$F64+$G64-1),1,""))</f>
        <v/>
      </c>
      <c r="AV64" s="5" t="str">
        <f ca="1">IF(AND($C64="Objetivo",AV$8&gt;=$F64,AV$8&lt;=$F64+$G64-1),2,IF(AND($C64="Hito",AV$8&gt;=$F64,AV$8&lt;=$F64+$G64-1),1,""))</f>
        <v/>
      </c>
      <c r="AW64" s="5" t="str">
        <f ca="1">IF(AND($C64="Objetivo",AW$8&gt;=$F64,AW$8&lt;=$F64+$G64-1),2,IF(AND($C64="Hito",AW$8&gt;=$F64,AW$8&lt;=$F64+$G64-1),1,""))</f>
        <v/>
      </c>
      <c r="AX64" s="5" t="str">
        <f ca="1">IF(AND($C64="Objetivo",AX$8&gt;=$F64,AX$8&lt;=$F64+$G64-1),2,IF(AND($C64="Hito",AX$8&gt;=$F64,AX$8&lt;=$F64+$G64-1),1,""))</f>
        <v/>
      </c>
      <c r="AY64" s="5" t="str">
        <f ca="1">IF(AND($C64="Objetivo",AY$8&gt;=$F64,AY$8&lt;=$F64+$G64-1),2,IF(AND($C64="Hito",AY$8&gt;=$F64,AY$8&lt;=$F64+$G64-1),1,""))</f>
        <v/>
      </c>
      <c r="AZ64" s="5" t="str">
        <f ca="1">IF(AND($C64="Objetivo",AZ$8&gt;=$F64,AZ$8&lt;=$F64+$G64-1),2,IF(AND($C64="Hito",AZ$8&gt;=$F64,AZ$8&lt;=$F64+$G64-1),1,""))</f>
        <v/>
      </c>
      <c r="BA64" s="5" t="str">
        <f ca="1">IF(AND($C64="Objetivo",BA$8&gt;=$F64,BA$8&lt;=$F64+$G64-1),2,IF(AND($C64="Hito",BA$8&gt;=$F64,BA$8&lt;=$F64+$G64-1),1,""))</f>
        <v/>
      </c>
      <c r="BB64" s="5" t="str">
        <f ca="1">IF(AND($C64="Objetivo",BB$8&gt;=$F64,BB$8&lt;=$F64+$G64-1),2,IF(AND($C64="Hito",BB$8&gt;=$F64,BB$8&lt;=$F64+$G64-1),1,""))</f>
        <v/>
      </c>
      <c r="BC64" s="5" t="str">
        <f ca="1">IF(AND($C64="Objetivo",BC$8&gt;=$F64,BC$8&lt;=$F64+$G64-1),2,IF(AND($C64="Hito",BC$8&gt;=$F64,BC$8&lt;=$F64+$G64-1),1,""))</f>
        <v/>
      </c>
      <c r="BD64" s="5" t="str">
        <f ca="1">IF(AND($C64="Objetivo",BD$8&gt;=$F64,BD$8&lt;=$F64+$G64-1),2,IF(AND($C64="Hito",BD$8&gt;=$F64,BD$8&lt;=$F64+$G64-1),1,""))</f>
        <v/>
      </c>
      <c r="BE64" s="5" t="str">
        <f ca="1">IF(AND($C64="Objetivo",BE$8&gt;=$F64,BE$8&lt;=$F64+$G64-1),2,IF(AND($C64="Hito",BE$8&gt;=$F64,BE$8&lt;=$F64+$G64-1),1,""))</f>
        <v/>
      </c>
      <c r="BF64" s="5" t="str">
        <f ca="1">IF(AND($C64="Objetivo",BF$8&gt;=$F64,BF$8&lt;=$F64+$G64-1),2,IF(AND($C64="Hito",BF$8&gt;=$F64,BF$8&lt;=$F64+$G64-1),1,""))</f>
        <v/>
      </c>
      <c r="BG64" s="5" t="str">
        <f ca="1">IF(AND($C64="Objetivo",BG$8&gt;=$F64,BG$8&lt;=$F64+$G64-1),2,IF(AND($C64="Hito",BG$8&gt;=$F64,BG$8&lt;=$F64+$G64-1),1,""))</f>
        <v/>
      </c>
      <c r="BH64" s="5" t="str">
        <f ca="1">IF(AND($C64="Objetivo",BH$8&gt;=$F64,BH$8&lt;=$F64+$G64-1),2,IF(AND($C64="Hito",BH$8&gt;=$F64,BH$8&lt;=$F64+$G64-1),1,""))</f>
        <v/>
      </c>
      <c r="BI64" s="5" t="str">
        <f ca="1">IF(AND($C64="Objetivo",BI$8&gt;=$F64,BI$8&lt;=$F64+$G64-1),2,IF(AND($C64="Hito",BI$8&gt;=$F64,BI$8&lt;=$F64+$G64-1),1,""))</f>
        <v/>
      </c>
      <c r="BJ64" s="5" t="str">
        <f ca="1">IF(AND($C64="Objetivo",BJ$8&gt;=$F64,BJ$8&lt;=$F64+$G64-1),2,IF(AND($C64="Hito",BJ$8&gt;=$F64,BJ$8&lt;=$F64+$G64-1),1,""))</f>
        <v/>
      </c>
      <c r="BK64" s="5" t="str">
        <f ca="1">IF(AND($C64="Objetivo",BK$8&gt;=$F64,BK$8&lt;=$F64+$G64-1),2,IF(AND($C64="Hito",BK$8&gt;=$F64,BK$8&lt;=$F64+$G64-1),1,""))</f>
        <v/>
      </c>
      <c r="BL64" s="5" t="str">
        <f ca="1">IF(AND($C64="Objetivo",BL$8&gt;=$F64,BL$8&lt;=$F64+$G64-1),2,IF(AND($C64="Hito",BL$8&gt;=$F64,BL$8&lt;=$F64+$G64-1),1,""))</f>
        <v/>
      </c>
      <c r="BM64" s="5" t="str">
        <f ca="1">IF(AND($C64="Objetivo",BM$8&gt;=$F64,BM$8&lt;=$F64+$G64-1),2,IF(AND($C64="Hito",BM$8&gt;=$F64,BM$8&lt;=$F64+$G64-1),1,""))</f>
        <v/>
      </c>
      <c r="BN64" s="5" t="str">
        <f ca="1">IF(AND($C64="Objetivo",BN$8&gt;=$F64,BN$8&lt;=$F64+$G64-1),2,IF(AND($C64="Hito",BN$8&gt;=$F64,BN$8&lt;=$F64+$G64-1),1,""))</f>
        <v/>
      </c>
      <c r="BO64" s="5" t="str">
        <f ca="1">IF(AND($C64="Objetivo",BO$8&gt;=$F64,BO$8&lt;=$F64+$G64-1),2,IF(AND($C64="Hito",BO$8&gt;=$F64,BO$8&lt;=$F64+$G64-1),1,""))</f>
        <v/>
      </c>
      <c r="BP64" s="5" t="str">
        <f ca="1">IF(AND($C64="Objetivo",BP$8&gt;=$F64,BP$8&lt;=$F64+$G64-1),2,IF(AND($C64="Hito",BP$8&gt;=$F64,BP$8&lt;=$F64+$G64-1),1,""))</f>
        <v/>
      </c>
      <c r="BQ64" s="5" t="str">
        <f ca="1">IF(AND($C64="Objetivo",BQ$8&gt;=$F64,BQ$8&lt;=$F64+$G64-1),2,IF(AND($C64="Hito",BQ$8&gt;=$F64,BQ$8&lt;=$F64+$G64-1),1,""))</f>
        <v/>
      </c>
      <c r="BR64" s="5" t="str">
        <f ca="1">IF(AND($C64="Objetivo",BR$8&gt;=$F64,BR$8&lt;=$F64+$G64-1),2,IF(AND($C64="Hito",BR$8&gt;=$F64,BR$8&lt;=$F64+$G64-1),1,""))</f>
        <v/>
      </c>
      <c r="BS64" s="5" t="str">
        <f ca="1">IF(AND($C64="Objetivo",BS$8&gt;=$F64,BS$8&lt;=$F64+$G64-1),2,IF(AND($C64="Hito",BS$8&gt;=$F64,BS$8&lt;=$F64+$G64-1),1,""))</f>
        <v/>
      </c>
      <c r="BT64" s="5" t="str">
        <f ca="1">IF(AND($C64="Objetivo",BT$8&gt;=$F64,BT$8&lt;=$F64+$G64-1),2,IF(AND($C64="Hito",BT$8&gt;=$F64,BT$8&lt;=$F64+$G64-1),1,""))</f>
        <v/>
      </c>
      <c r="BU64" s="5" t="str">
        <f ca="1">IF(AND($C64="Objetivo",BU$8&gt;=$F64,BU$8&lt;=$F64+$G64-1),2,IF(AND($C64="Hito",BU$8&gt;=$F64,BU$8&lt;=$F64+$G64-1),1,""))</f>
        <v/>
      </c>
      <c r="BV64" s="5" t="str">
        <f ca="1">IF(AND($C64="Objetivo",BV$8&gt;=$F64,BV$8&lt;=$F64+$G64-1),2,IF(AND($C64="Hito",BV$8&gt;=$F64,BV$8&lt;=$F64+$G64-1),1,""))</f>
        <v/>
      </c>
      <c r="BW64" s="5" t="str">
        <f ca="1">IF(AND($C64="Objetivo",BW$8&gt;=$F64,BW$8&lt;=$F64+$G64-1),2,IF(AND($C64="Hito",BW$8&gt;=$F64,BW$8&lt;=$F64+$G64-1),1,""))</f>
        <v/>
      </c>
      <c r="BX64" s="5" t="str">
        <f ca="1">IF(AND($C64="Objetivo",BX$8&gt;=$F64,BX$8&lt;=$F64+$G64-1),2,IF(AND($C64="Hito",BX$8&gt;=$F64,BX$8&lt;=$F64+$G64-1),1,""))</f>
        <v/>
      </c>
      <c r="BY64" s="5" t="str">
        <f ca="1">IF(AND($C64="Objetivo",BY$8&gt;=$F64,BY$8&lt;=$F64+$G64-1),2,IF(AND($C64="Hito",BY$8&gt;=$F64,BY$8&lt;=$F64+$G64-1),1,""))</f>
        <v/>
      </c>
      <c r="BZ64" s="5" t="str">
        <f ca="1">IF(AND($C64="Objetivo",BZ$8&gt;=$F64,BZ$8&lt;=$F64+$G64-1),2,IF(AND($C64="Hito",BZ$8&gt;=$F64,BZ$8&lt;=$F64+$G64-1),1,""))</f>
        <v/>
      </c>
      <c r="CA64" s="5" t="str">
        <f ca="1">IF(AND($C64="Objetivo",CA$8&gt;=$F64,CA$8&lt;=$F64+$G64-1),2,IF(AND($C64="Hito",CA$8&gt;=$F64,CA$8&lt;=$F64+$G64-1),1,""))</f>
        <v/>
      </c>
      <c r="CB64" s="5" t="str">
        <f ca="1">IF(AND($C64="Objetivo",CB$8&gt;=$F64,CB$8&lt;=$F64+$G64-1),2,IF(AND($C64="Hito",CB$8&gt;=$F64,CB$8&lt;=$F64+$G64-1),1,""))</f>
        <v/>
      </c>
      <c r="CC64" s="5" t="str">
        <f ca="1">IF(AND($C64="Objetivo",CC$8&gt;=$F64,CC$8&lt;=$F64+$G64-1),2,IF(AND($C64="Hito",CC$8&gt;=$F64,CC$8&lt;=$F64+$G64-1),1,""))</f>
        <v/>
      </c>
      <c r="CD64" s="5" t="str">
        <f ca="1">IF(AND($C64="Objetivo",CD$8&gt;=$F64,CD$8&lt;=$F64+$G64-1),2,IF(AND($C64="Hito",CD$8&gt;=$F64,CD$8&lt;=$F64+$G64-1),1,""))</f>
        <v/>
      </c>
      <c r="CE64" s="5" t="str">
        <f ca="1">IF(AND($C64="Objetivo",CE$8&gt;=$F64,CE$8&lt;=$F64+$G64-1),2,IF(AND($C64="Hito",CE$8&gt;=$F64,CE$8&lt;=$F64+$G64-1),1,""))</f>
        <v/>
      </c>
      <c r="CF64" s="5" t="str">
        <f ca="1">IF(AND($C64="Objetivo",CF$8&gt;=$F64,CF$8&lt;=$F64+$G64-1),2,IF(AND($C64="Hito",CF$8&gt;=$F64,CF$8&lt;=$F64+$G64-1),1,""))</f>
        <v/>
      </c>
      <c r="CG64" s="5" t="str">
        <f ca="1">IF(AND($C64="Objetivo",CG$8&gt;=$F64,CG$8&lt;=$F64+$G64-1),2,IF(AND($C64="Hito",CG$8&gt;=$F64,CG$8&lt;=$F64+$G64-1),1,""))</f>
        <v/>
      </c>
      <c r="CH64" s="5" t="str">
        <f ca="1">IF(AND($C64="Objetivo",CH$8&gt;=$F64,CH$8&lt;=$F64+$G64-1),2,IF(AND($C64="Hito",CH$8&gt;=$F64,CH$8&lt;=$F64+$G64-1),1,""))</f>
        <v/>
      </c>
      <c r="CI64" s="5" t="str">
        <f ca="1">IF(AND($C64="Objetivo",CI$8&gt;=$F64,CI$8&lt;=$F64+$G64-1),2,IF(AND($C64="Hito",CI$8&gt;=$F64,CI$8&lt;=$F64+$G64-1),1,""))</f>
        <v/>
      </c>
      <c r="CJ64" s="5" t="str">
        <f ca="1">IF(AND($C64="Objetivo",CJ$8&gt;=$F64,CJ$8&lt;=$F64+$G64-1),2,IF(AND($C64="Hito",CJ$8&gt;=$F64,CJ$8&lt;=$F64+$G64-1),1,""))</f>
        <v/>
      </c>
      <c r="CK64" s="5" t="str">
        <f ca="1">IF(AND($C64="Objetivo",CK$8&gt;=$F64,CK$8&lt;=$F64+$G64-1),2,IF(AND($C64="Hito",CK$8&gt;=$F64,CK$8&lt;=$F64+$G64-1),1,""))</f>
        <v/>
      </c>
      <c r="CL64" s="5" t="str">
        <f ca="1">IF(AND($C64="Objetivo",CL$8&gt;=$F64,CL$8&lt;=$F64+$G64-1),2,IF(AND($C64="Hito",CL$8&gt;=$F64,CL$8&lt;=$F64+$G64-1),1,""))</f>
        <v/>
      </c>
      <c r="CM64" s="5" t="str">
        <f ca="1">IF(AND($C64="Objetivo",CM$8&gt;=$F64,CM$8&lt;=$F64+$G64-1),2,IF(AND($C64="Hito",CM$8&gt;=$F64,CM$8&lt;=$F64+$G64-1),1,""))</f>
        <v/>
      </c>
      <c r="CN64" s="5" t="str">
        <f ca="1">IF(AND($C64="Objetivo",CN$8&gt;=$F64,CN$8&lt;=$F64+$G64-1),2,IF(AND($C64="Hito",CN$8&gt;=$F64,CN$8&lt;=$F64+$G64-1),1,""))</f>
        <v/>
      </c>
      <c r="CO64" s="5" t="str">
        <f ca="1">IF(AND($C64="Objetivo",CO$8&gt;=$F64,CO$8&lt;=$F64+$G64-1),2,IF(AND($C64="Hito",CO$8&gt;=$F64,CO$8&lt;=$F64+$G64-1),1,""))</f>
        <v/>
      </c>
      <c r="CP64" s="5" t="str">
        <f ca="1">IF(AND($C64="Objetivo",CP$8&gt;=$F64,CP$8&lt;=$F64+$G64-1),2,IF(AND($C64="Hito",CP$8&gt;=$F64,CP$8&lt;=$F64+$G64-1),1,""))</f>
        <v/>
      </c>
      <c r="CQ64" s="5" t="str">
        <f ca="1">IF(AND($C64="Objetivo",CQ$8&gt;=$F64,CQ$8&lt;=$F64+$G64-1),2,IF(AND($C64="Hito",CQ$8&gt;=$F64,CQ$8&lt;=$F64+$G64-1),1,""))</f>
        <v/>
      </c>
      <c r="CR64" s="5" t="str">
        <f ca="1">IF(AND($C64="Objetivo",CR$8&gt;=$F64,CR$8&lt;=$F64+$G64-1),2,IF(AND($C64="Hito",CR$8&gt;=$F64,CR$8&lt;=$F64+$G64-1),1,""))</f>
        <v/>
      </c>
      <c r="CS64" s="5" t="str">
        <f ca="1">IF(AND($C64="Objetivo",CS$8&gt;=$F64,CS$8&lt;=$F64+$G64-1),2,IF(AND($C64="Hito",CS$8&gt;=$F64,CS$8&lt;=$F64+$G64-1),1,""))</f>
        <v/>
      </c>
      <c r="CT64" s="5" t="str">
        <f ca="1">IF(AND($C64="Objetivo",CT$8&gt;=$F64,CT$8&lt;=$F64+$G64-1),2,IF(AND($C64="Hito",CT$8&gt;=$F64,CT$8&lt;=$F64+$G64-1),1,""))</f>
        <v/>
      </c>
      <c r="CU64" s="5" t="str">
        <f ca="1">IF(AND($C64="Objetivo",CU$8&gt;=$F64,CU$8&lt;=$F64+$G64-1),2,IF(AND($C64="Hito",CU$8&gt;=$F64,CU$8&lt;=$F64+$G64-1),1,""))</f>
        <v/>
      </c>
      <c r="CV64" s="5" t="str">
        <f ca="1">IF(AND($C64="Objetivo",CV$8&gt;=$F64,CV$8&lt;=$F64+$G64-1),2,IF(AND($C64="Hito",CV$8&gt;=$F64,CV$8&lt;=$F64+$G64-1),1,""))</f>
        <v/>
      </c>
      <c r="CW64" s="5" t="str">
        <f ca="1">IF(AND($C64="Objetivo",CW$8&gt;=$F64,CW$8&lt;=$F64+$G64-1),2,IF(AND($C64="Hito",CW$8&gt;=$F64,CW$8&lt;=$F64+$G64-1),1,""))</f>
        <v/>
      </c>
      <c r="CX64" s="5" t="str">
        <f ca="1">IF(AND($C64="Objetivo",CX$8&gt;=$F64,CX$8&lt;=$F64+$G64-1),2,IF(AND($C64="Hito",CX$8&gt;=$F64,CX$8&lt;=$F64+$G64-1),1,""))</f>
        <v/>
      </c>
      <c r="CY64" s="5" t="str">
        <f ca="1">IF(AND($C64="Objetivo",CY$8&gt;=$F64,CY$8&lt;=$F64+$G64-1),2,IF(AND($C64="Hito",CY$8&gt;=$F64,CY$8&lt;=$F64+$G64-1),1,""))</f>
        <v/>
      </c>
      <c r="CZ64" s="5" t="str">
        <f ca="1">IF(AND($C64="Objetivo",CZ$8&gt;=$F64,CZ$8&lt;=$F64+$G64-1),2,IF(AND($C64="Hito",CZ$8&gt;=$F64,CZ$8&lt;=$F64+$G64-1),1,""))</f>
        <v/>
      </c>
      <c r="DA64" s="5" t="str">
        <f ca="1">IF(AND($C64="Objetivo",DA$8&gt;=$F64,DA$8&lt;=$F64+$G64-1),2,IF(AND($C64="Hito",DA$8&gt;=$F64,DA$8&lt;=$F64+$G64-1),1,""))</f>
        <v/>
      </c>
      <c r="DB64" s="5" t="str">
        <f ca="1">IF(AND($C64="Objetivo",DB$8&gt;=$F64,DB$8&lt;=$F64+$G64-1),2,IF(AND($C64="Hito",DB$8&gt;=$F64,DB$8&lt;=$F64+$G64-1),1,""))</f>
        <v/>
      </c>
    </row>
    <row r="65" spans="2:106" ht="30" customHeight="1" x14ac:dyDescent="0.25">
      <c r="B65" s="41"/>
      <c r="C65" s="34"/>
      <c r="D65" s="34"/>
      <c r="E65" s="50"/>
      <c r="F65" s="40"/>
      <c r="G65" s="57"/>
      <c r="H65" s="29"/>
      <c r="I65" s="29"/>
      <c r="K65" s="5" t="str">
        <f ca="1">IF(AND($C65="Objetivo",K$8&gt;=$F65,K$8&lt;=$F65+$G65-1),2,IF(AND($C65="Hito",K$8&gt;=$F65,K$8&lt;=$F65+$G65-1),1,""))</f>
        <v/>
      </c>
      <c r="L65" s="5" t="str">
        <f ca="1">IF(AND($C65="Objetivo",L$8&gt;=$F65,L$8&lt;=$F65+$G65-1),2,IF(AND($C65="Hito",L$8&gt;=$F65,L$8&lt;=$F65+$G65-1),1,""))</f>
        <v/>
      </c>
      <c r="M65" s="5" t="str">
        <f ca="1">IF(AND($C65="Objetivo",M$8&gt;=$F65,M$8&lt;=$F65+$G65-1),2,IF(AND($C65="Hito",M$8&gt;=$F65,M$8&lt;=$F65+$G65-1),1,""))</f>
        <v/>
      </c>
      <c r="N65" s="5" t="str">
        <f ca="1">IF(AND($C65="Objetivo",N$8&gt;=$F65,N$8&lt;=$F65+$G65-1),2,IF(AND($C65="Hito",N$8&gt;=$F65,N$8&lt;=$F65+$G65-1),1,""))</f>
        <v/>
      </c>
      <c r="O65" s="5" t="str">
        <f ca="1">IF(AND($C65="Objetivo",O$8&gt;=$F65,O$8&lt;=$F65+$G65-1),2,IF(AND($C65="Hito",O$8&gt;=$F65,O$8&lt;=$F65+$G65-1),1,""))</f>
        <v/>
      </c>
      <c r="P65" s="5" t="str">
        <f ca="1">IF(AND($C65="Objetivo",P$8&gt;=$F65,P$8&lt;=$F65+$G65-1),2,IF(AND($C65="Hito",P$8&gt;=$F65,P$8&lt;=$F65+$G65-1),1,""))</f>
        <v/>
      </c>
      <c r="Q65" s="5" t="str">
        <f ca="1">IF(AND($C65="Objetivo",Q$8&gt;=$F65,Q$8&lt;=$F65+$G65-1),2,IF(AND($C65="Hito",Q$8&gt;=$F65,Q$8&lt;=$F65+$G65-1),1,""))</f>
        <v/>
      </c>
      <c r="R65" s="5" t="str">
        <f ca="1">IF(AND($C65="Objetivo",R$8&gt;=$F65,R$8&lt;=$F65+$G65-1),2,IF(AND($C65="Hito",R$8&gt;=$F65,R$8&lt;=$F65+$G65-1),1,""))</f>
        <v/>
      </c>
      <c r="S65" s="5" t="str">
        <f ca="1">IF(AND($C65="Objetivo",S$8&gt;=$F65,S$8&lt;=$F65+$G65-1),2,IF(AND($C65="Hito",S$8&gt;=$F65,S$8&lt;=$F65+$G65-1),1,""))</f>
        <v/>
      </c>
      <c r="T65" s="5" t="str">
        <f ca="1">IF(AND($C65="Objetivo",T$8&gt;=$F65,T$8&lt;=$F65+$G65-1),2,IF(AND($C65="Hito",T$8&gt;=$F65,T$8&lt;=$F65+$G65-1),1,""))</f>
        <v/>
      </c>
      <c r="U65" s="5" t="str">
        <f ca="1">IF(AND($C65="Objetivo",U$8&gt;=$F65,U$8&lt;=$F65+$G65-1),2,IF(AND($C65="Hito",U$8&gt;=$F65,U$8&lt;=$F65+$G65-1),1,""))</f>
        <v/>
      </c>
      <c r="V65" s="5" t="str">
        <f ca="1">IF(AND($C65="Objetivo",V$8&gt;=$F65,V$8&lt;=$F65+$G65-1),2,IF(AND($C65="Hito",V$8&gt;=$F65,V$8&lt;=$F65+$G65-1),1,""))</f>
        <v/>
      </c>
      <c r="W65" s="5" t="str">
        <f ca="1">IF(AND($C65="Objetivo",W$8&gt;=$F65,W$8&lt;=$F65+$G65-1),2,IF(AND($C65="Hito",W$8&gt;=$F65,W$8&lt;=$F65+$G65-1),1,""))</f>
        <v/>
      </c>
      <c r="X65" s="5" t="str">
        <f ca="1">IF(AND($C65="Objetivo",X$8&gt;=$F65,X$8&lt;=$F65+$G65-1),2,IF(AND($C65="Hito",X$8&gt;=$F65,X$8&lt;=$F65+$G65-1),1,""))</f>
        <v/>
      </c>
      <c r="Y65" s="5" t="str">
        <f ca="1">IF(AND($C65="Objetivo",Y$8&gt;=$F65,Y$8&lt;=$F65+$G65-1),2,IF(AND($C65="Hito",Y$8&gt;=$F65,Y$8&lt;=$F65+$G65-1),1,""))</f>
        <v/>
      </c>
      <c r="Z65" s="5" t="str">
        <f ca="1">IF(AND($C65="Objetivo",Z$8&gt;=$F65,Z$8&lt;=$F65+$G65-1),2,IF(AND($C65="Hito",Z$8&gt;=$F65,Z$8&lt;=$F65+$G65-1),1,""))</f>
        <v/>
      </c>
      <c r="AA65" s="5" t="str">
        <f ca="1">IF(AND($C65="Objetivo",AA$8&gt;=$F65,AA$8&lt;=$F65+$G65-1),2,IF(AND($C65="Hito",AA$8&gt;=$F65,AA$8&lt;=$F65+$G65-1),1,""))</f>
        <v/>
      </c>
      <c r="AB65" s="5" t="str">
        <f ca="1">IF(AND($C65="Objetivo",AB$8&gt;=$F65,AB$8&lt;=$F65+$G65-1),2,IF(AND($C65="Hito",AB$8&gt;=$F65,AB$8&lt;=$F65+$G65-1),1,""))</f>
        <v/>
      </c>
      <c r="AC65" s="5" t="str">
        <f ca="1">IF(AND($C65="Objetivo",AC$8&gt;=$F65,AC$8&lt;=$F65+$G65-1),2,IF(AND($C65="Hito",AC$8&gt;=$F65,AC$8&lt;=$F65+$G65-1),1,""))</f>
        <v/>
      </c>
      <c r="AD65" s="5" t="str">
        <f ca="1">IF(AND($C65="Objetivo",AD$8&gt;=$F65,AD$8&lt;=$F65+$G65-1),2,IF(AND($C65="Hito",AD$8&gt;=$F65,AD$8&lt;=$F65+$G65-1),1,""))</f>
        <v/>
      </c>
      <c r="AE65" s="5" t="str">
        <f ca="1">IF(AND($C65="Objetivo",AE$8&gt;=$F65,AE$8&lt;=$F65+$G65-1),2,IF(AND($C65="Hito",AE$8&gt;=$F65,AE$8&lt;=$F65+$G65-1),1,""))</f>
        <v/>
      </c>
      <c r="AF65" s="5" t="str">
        <f ca="1">IF(AND($C65="Objetivo",AF$8&gt;=$F65,AF$8&lt;=$F65+$G65-1),2,IF(AND($C65="Hito",AF$8&gt;=$F65,AF$8&lt;=$F65+$G65-1),1,""))</f>
        <v/>
      </c>
      <c r="AG65" s="5" t="str">
        <f ca="1">IF(AND($C65="Objetivo",AG$8&gt;=$F65,AG$8&lt;=$F65+$G65-1),2,IF(AND($C65="Hito",AG$8&gt;=$F65,AG$8&lt;=$F65+$G65-1),1,""))</f>
        <v/>
      </c>
      <c r="AH65" s="5" t="str">
        <f ca="1">IF(AND($C65="Objetivo",AH$8&gt;=$F65,AH$8&lt;=$F65+$G65-1),2,IF(AND($C65="Hito",AH$8&gt;=$F65,AH$8&lt;=$F65+$G65-1),1,""))</f>
        <v/>
      </c>
      <c r="AI65" s="5" t="str">
        <f ca="1">IF(AND($C65="Objetivo",AI$8&gt;=$F65,AI$8&lt;=$F65+$G65-1),2,IF(AND($C65="Hito",AI$8&gt;=$F65,AI$8&lt;=$F65+$G65-1),1,""))</f>
        <v/>
      </c>
      <c r="AJ65" s="5" t="str">
        <f ca="1">IF(AND($C65="Objetivo",AJ$8&gt;=$F65,AJ$8&lt;=$F65+$G65-1),2,IF(AND($C65="Hito",AJ$8&gt;=$F65,AJ$8&lt;=$F65+$G65-1),1,""))</f>
        <v/>
      </c>
      <c r="AK65" s="5" t="str">
        <f ca="1">IF(AND($C65="Objetivo",AK$8&gt;=$F65,AK$8&lt;=$F65+$G65-1),2,IF(AND($C65="Hito",AK$8&gt;=$F65,AK$8&lt;=$F65+$G65-1),1,""))</f>
        <v/>
      </c>
      <c r="AL65" s="5" t="str">
        <f ca="1">IF(AND($C65="Objetivo",AL$8&gt;=$F65,AL$8&lt;=$F65+$G65-1),2,IF(AND($C65="Hito",AL$8&gt;=$F65,AL$8&lt;=$F65+$G65-1),1,""))</f>
        <v/>
      </c>
      <c r="AM65" s="5" t="str">
        <f ca="1">IF(AND($C65="Objetivo",AM$8&gt;=$F65,AM$8&lt;=$F65+$G65-1),2,IF(AND($C65="Hito",AM$8&gt;=$F65,AM$8&lt;=$F65+$G65-1),1,""))</f>
        <v/>
      </c>
      <c r="AN65" s="5" t="str">
        <f ca="1">IF(AND($C65="Objetivo",AN$8&gt;=$F65,AN$8&lt;=$F65+$G65-1),2,IF(AND($C65="Hito",AN$8&gt;=$F65,AN$8&lt;=$F65+$G65-1),1,""))</f>
        <v/>
      </c>
      <c r="AO65" s="5" t="str">
        <f ca="1">IF(AND($C65="Objetivo",AO$8&gt;=$F65,AO$8&lt;=$F65+$G65-1),2,IF(AND($C65="Hito",AO$8&gt;=$F65,AO$8&lt;=$F65+$G65-1),1,""))</f>
        <v/>
      </c>
      <c r="AP65" s="5" t="str">
        <f ca="1">IF(AND($C65="Objetivo",AP$8&gt;=$F65,AP$8&lt;=$F65+$G65-1),2,IF(AND($C65="Hito",AP$8&gt;=$F65,AP$8&lt;=$F65+$G65-1),1,""))</f>
        <v/>
      </c>
      <c r="AQ65" s="5" t="str">
        <f ca="1">IF(AND($C65="Objetivo",AQ$8&gt;=$F65,AQ$8&lt;=$F65+$G65-1),2,IF(AND($C65="Hito",AQ$8&gt;=$F65,AQ$8&lt;=$F65+$G65-1),1,""))</f>
        <v/>
      </c>
      <c r="AR65" s="5" t="str">
        <f ca="1">IF(AND($C65="Objetivo",AR$8&gt;=$F65,AR$8&lt;=$F65+$G65-1),2,IF(AND($C65="Hito",AR$8&gt;=$F65,AR$8&lt;=$F65+$G65-1),1,""))</f>
        <v/>
      </c>
      <c r="AS65" s="5" t="str">
        <f ca="1">IF(AND($C65="Objetivo",AS$8&gt;=$F65,AS$8&lt;=$F65+$G65-1),2,IF(AND($C65="Hito",AS$8&gt;=$F65,AS$8&lt;=$F65+$G65-1),1,""))</f>
        <v/>
      </c>
      <c r="AT65" s="5" t="str">
        <f ca="1">IF(AND($C65="Objetivo",AT$8&gt;=$F65,AT$8&lt;=$F65+$G65-1),2,IF(AND($C65="Hito",AT$8&gt;=$F65,AT$8&lt;=$F65+$G65-1),1,""))</f>
        <v/>
      </c>
      <c r="AU65" s="5" t="str">
        <f ca="1">IF(AND($C65="Objetivo",AU$8&gt;=$F65,AU$8&lt;=$F65+$G65-1),2,IF(AND($C65="Hito",AU$8&gt;=$F65,AU$8&lt;=$F65+$G65-1),1,""))</f>
        <v/>
      </c>
      <c r="AV65" s="5" t="str">
        <f ca="1">IF(AND($C65="Objetivo",AV$8&gt;=$F65,AV$8&lt;=$F65+$G65-1),2,IF(AND($C65="Hito",AV$8&gt;=$F65,AV$8&lt;=$F65+$G65-1),1,""))</f>
        <v/>
      </c>
      <c r="AW65" s="5" t="str">
        <f ca="1">IF(AND($C65="Objetivo",AW$8&gt;=$F65,AW$8&lt;=$F65+$G65-1),2,IF(AND($C65="Hito",AW$8&gt;=$F65,AW$8&lt;=$F65+$G65-1),1,""))</f>
        <v/>
      </c>
      <c r="AX65" s="5" t="str">
        <f ca="1">IF(AND($C65="Objetivo",AX$8&gt;=$F65,AX$8&lt;=$F65+$G65-1),2,IF(AND($C65="Hito",AX$8&gt;=$F65,AX$8&lt;=$F65+$G65-1),1,""))</f>
        <v/>
      </c>
      <c r="AY65" s="5" t="str">
        <f ca="1">IF(AND($C65="Objetivo",AY$8&gt;=$F65,AY$8&lt;=$F65+$G65-1),2,IF(AND($C65="Hito",AY$8&gt;=$F65,AY$8&lt;=$F65+$G65-1),1,""))</f>
        <v/>
      </c>
      <c r="AZ65" s="5" t="str">
        <f ca="1">IF(AND($C65="Objetivo",AZ$8&gt;=$F65,AZ$8&lt;=$F65+$G65-1),2,IF(AND($C65="Hito",AZ$8&gt;=$F65,AZ$8&lt;=$F65+$G65-1),1,""))</f>
        <v/>
      </c>
      <c r="BA65" s="5" t="str">
        <f ca="1">IF(AND($C65="Objetivo",BA$8&gt;=$F65,BA$8&lt;=$F65+$G65-1),2,IF(AND($C65="Hito",BA$8&gt;=$F65,BA$8&lt;=$F65+$G65-1),1,""))</f>
        <v/>
      </c>
      <c r="BB65" s="5" t="str">
        <f ca="1">IF(AND($C65="Objetivo",BB$8&gt;=$F65,BB$8&lt;=$F65+$G65-1),2,IF(AND($C65="Hito",BB$8&gt;=$F65,BB$8&lt;=$F65+$G65-1),1,""))</f>
        <v/>
      </c>
      <c r="BC65" s="5" t="str">
        <f ca="1">IF(AND($C65="Objetivo",BC$8&gt;=$F65,BC$8&lt;=$F65+$G65-1),2,IF(AND($C65="Hito",BC$8&gt;=$F65,BC$8&lt;=$F65+$G65-1),1,""))</f>
        <v/>
      </c>
      <c r="BD65" s="5" t="str">
        <f ca="1">IF(AND($C65="Objetivo",BD$8&gt;=$F65,BD$8&lt;=$F65+$G65-1),2,IF(AND($C65="Hito",BD$8&gt;=$F65,BD$8&lt;=$F65+$G65-1),1,""))</f>
        <v/>
      </c>
      <c r="BE65" s="5" t="str">
        <f ca="1">IF(AND($C65="Objetivo",BE$8&gt;=$F65,BE$8&lt;=$F65+$G65-1),2,IF(AND($C65="Hito",BE$8&gt;=$F65,BE$8&lt;=$F65+$G65-1),1,""))</f>
        <v/>
      </c>
      <c r="BF65" s="5" t="str">
        <f ca="1">IF(AND($C65="Objetivo",BF$8&gt;=$F65,BF$8&lt;=$F65+$G65-1),2,IF(AND($C65="Hito",BF$8&gt;=$F65,BF$8&lt;=$F65+$G65-1),1,""))</f>
        <v/>
      </c>
      <c r="BG65" s="5" t="str">
        <f ca="1">IF(AND($C65="Objetivo",BG$8&gt;=$F65,BG$8&lt;=$F65+$G65-1),2,IF(AND($C65="Hito",BG$8&gt;=$F65,BG$8&lt;=$F65+$G65-1),1,""))</f>
        <v/>
      </c>
      <c r="BH65" s="5" t="str">
        <f ca="1">IF(AND($C65="Objetivo",BH$8&gt;=$F65,BH$8&lt;=$F65+$G65-1),2,IF(AND($C65="Hito",BH$8&gt;=$F65,BH$8&lt;=$F65+$G65-1),1,""))</f>
        <v/>
      </c>
      <c r="BI65" s="5" t="str">
        <f ca="1">IF(AND($C65="Objetivo",BI$8&gt;=$F65,BI$8&lt;=$F65+$G65-1),2,IF(AND($C65="Hito",BI$8&gt;=$F65,BI$8&lt;=$F65+$G65-1),1,""))</f>
        <v/>
      </c>
      <c r="BJ65" s="5" t="str">
        <f ca="1">IF(AND($C65="Objetivo",BJ$8&gt;=$F65,BJ$8&lt;=$F65+$G65-1),2,IF(AND($C65="Hito",BJ$8&gt;=$F65,BJ$8&lt;=$F65+$G65-1),1,""))</f>
        <v/>
      </c>
      <c r="BK65" s="5" t="str">
        <f ca="1">IF(AND($C65="Objetivo",BK$8&gt;=$F65,BK$8&lt;=$F65+$G65-1),2,IF(AND($C65="Hito",BK$8&gt;=$F65,BK$8&lt;=$F65+$G65-1),1,""))</f>
        <v/>
      </c>
      <c r="BL65" s="5" t="str">
        <f ca="1">IF(AND($C65="Objetivo",BL$8&gt;=$F65,BL$8&lt;=$F65+$G65-1),2,IF(AND($C65="Hito",BL$8&gt;=$F65,BL$8&lt;=$F65+$G65-1),1,""))</f>
        <v/>
      </c>
      <c r="BM65" s="5" t="str">
        <f ca="1">IF(AND($C65="Objetivo",BM$8&gt;=$F65,BM$8&lt;=$F65+$G65-1),2,IF(AND($C65="Hito",BM$8&gt;=$F65,BM$8&lt;=$F65+$G65-1),1,""))</f>
        <v/>
      </c>
      <c r="BN65" s="5" t="str">
        <f ca="1">IF(AND($C65="Objetivo",BN$8&gt;=$F65,BN$8&lt;=$F65+$G65-1),2,IF(AND($C65="Hito",BN$8&gt;=$F65,BN$8&lt;=$F65+$G65-1),1,""))</f>
        <v/>
      </c>
      <c r="BO65" s="5" t="str">
        <f ca="1">IF(AND($C65="Objetivo",BO$8&gt;=$F65,BO$8&lt;=$F65+$G65-1),2,IF(AND($C65="Hito",BO$8&gt;=$F65,BO$8&lt;=$F65+$G65-1),1,""))</f>
        <v/>
      </c>
      <c r="BP65" s="5" t="str">
        <f ca="1">IF(AND($C65="Objetivo",BP$8&gt;=$F65,BP$8&lt;=$F65+$G65-1),2,IF(AND($C65="Hito",BP$8&gt;=$F65,BP$8&lt;=$F65+$G65-1),1,""))</f>
        <v/>
      </c>
      <c r="BQ65" s="5" t="str">
        <f ca="1">IF(AND($C65="Objetivo",BQ$8&gt;=$F65,BQ$8&lt;=$F65+$G65-1),2,IF(AND($C65="Hito",BQ$8&gt;=$F65,BQ$8&lt;=$F65+$G65-1),1,""))</f>
        <v/>
      </c>
      <c r="BR65" s="5" t="str">
        <f ca="1">IF(AND($C65="Objetivo",BR$8&gt;=$F65,BR$8&lt;=$F65+$G65-1),2,IF(AND($C65="Hito",BR$8&gt;=$F65,BR$8&lt;=$F65+$G65-1),1,""))</f>
        <v/>
      </c>
      <c r="BS65" s="5" t="str">
        <f ca="1">IF(AND($C65="Objetivo",BS$8&gt;=$F65,BS$8&lt;=$F65+$G65-1),2,IF(AND($C65="Hito",BS$8&gt;=$F65,BS$8&lt;=$F65+$G65-1),1,""))</f>
        <v/>
      </c>
      <c r="BT65" s="5" t="str">
        <f ca="1">IF(AND($C65="Objetivo",BT$8&gt;=$F65,BT$8&lt;=$F65+$G65-1),2,IF(AND($C65="Hito",BT$8&gt;=$F65,BT$8&lt;=$F65+$G65-1),1,""))</f>
        <v/>
      </c>
      <c r="BU65" s="5" t="str">
        <f ca="1">IF(AND($C65="Objetivo",BU$8&gt;=$F65,BU$8&lt;=$F65+$G65-1),2,IF(AND($C65="Hito",BU$8&gt;=$F65,BU$8&lt;=$F65+$G65-1),1,""))</f>
        <v/>
      </c>
      <c r="BV65" s="5" t="str">
        <f ca="1">IF(AND($C65="Objetivo",BV$8&gt;=$F65,BV$8&lt;=$F65+$G65-1),2,IF(AND($C65="Hito",BV$8&gt;=$F65,BV$8&lt;=$F65+$G65-1),1,""))</f>
        <v/>
      </c>
      <c r="BW65" s="5" t="str">
        <f ca="1">IF(AND($C65="Objetivo",BW$8&gt;=$F65,BW$8&lt;=$F65+$G65-1),2,IF(AND($C65="Hito",BW$8&gt;=$F65,BW$8&lt;=$F65+$G65-1),1,""))</f>
        <v/>
      </c>
      <c r="BX65" s="5" t="str">
        <f ca="1">IF(AND($C65="Objetivo",BX$8&gt;=$F65,BX$8&lt;=$F65+$G65-1),2,IF(AND($C65="Hito",BX$8&gt;=$F65,BX$8&lt;=$F65+$G65-1),1,""))</f>
        <v/>
      </c>
      <c r="BY65" s="5" t="str">
        <f ca="1">IF(AND($C65="Objetivo",BY$8&gt;=$F65,BY$8&lt;=$F65+$G65-1),2,IF(AND($C65="Hito",BY$8&gt;=$F65,BY$8&lt;=$F65+$G65-1),1,""))</f>
        <v/>
      </c>
      <c r="BZ65" s="5" t="str">
        <f ca="1">IF(AND($C65="Objetivo",BZ$8&gt;=$F65,BZ$8&lt;=$F65+$G65-1),2,IF(AND($C65="Hito",BZ$8&gt;=$F65,BZ$8&lt;=$F65+$G65-1),1,""))</f>
        <v/>
      </c>
      <c r="CA65" s="5" t="str">
        <f ca="1">IF(AND($C65="Objetivo",CA$8&gt;=$F65,CA$8&lt;=$F65+$G65-1),2,IF(AND($C65="Hito",CA$8&gt;=$F65,CA$8&lt;=$F65+$G65-1),1,""))</f>
        <v/>
      </c>
      <c r="CB65" s="5" t="str">
        <f ca="1">IF(AND($C65="Objetivo",CB$8&gt;=$F65,CB$8&lt;=$F65+$G65-1),2,IF(AND($C65="Hito",CB$8&gt;=$F65,CB$8&lt;=$F65+$G65-1),1,""))</f>
        <v/>
      </c>
      <c r="CC65" s="5" t="str">
        <f ca="1">IF(AND($C65="Objetivo",CC$8&gt;=$F65,CC$8&lt;=$F65+$G65-1),2,IF(AND($C65="Hito",CC$8&gt;=$F65,CC$8&lt;=$F65+$G65-1),1,""))</f>
        <v/>
      </c>
      <c r="CD65" s="5" t="str">
        <f ca="1">IF(AND($C65="Objetivo",CD$8&gt;=$F65,CD$8&lt;=$F65+$G65-1),2,IF(AND($C65="Hito",CD$8&gt;=$F65,CD$8&lt;=$F65+$G65-1),1,""))</f>
        <v/>
      </c>
      <c r="CE65" s="5" t="str">
        <f ca="1">IF(AND($C65="Objetivo",CE$8&gt;=$F65,CE$8&lt;=$F65+$G65-1),2,IF(AND($C65="Hito",CE$8&gt;=$F65,CE$8&lt;=$F65+$G65-1),1,""))</f>
        <v/>
      </c>
      <c r="CF65" s="5" t="str">
        <f ca="1">IF(AND($C65="Objetivo",CF$8&gt;=$F65,CF$8&lt;=$F65+$G65-1),2,IF(AND($C65="Hito",CF$8&gt;=$F65,CF$8&lt;=$F65+$G65-1),1,""))</f>
        <v/>
      </c>
      <c r="CG65" s="5" t="str">
        <f ca="1">IF(AND($C65="Objetivo",CG$8&gt;=$F65,CG$8&lt;=$F65+$G65-1),2,IF(AND($C65="Hito",CG$8&gt;=$F65,CG$8&lt;=$F65+$G65-1),1,""))</f>
        <v/>
      </c>
      <c r="CH65" s="5" t="str">
        <f ca="1">IF(AND($C65="Objetivo",CH$8&gt;=$F65,CH$8&lt;=$F65+$G65-1),2,IF(AND($C65="Hito",CH$8&gt;=$F65,CH$8&lt;=$F65+$G65-1),1,""))</f>
        <v/>
      </c>
      <c r="CI65" s="5" t="str">
        <f ca="1">IF(AND($C65="Objetivo",CI$8&gt;=$F65,CI$8&lt;=$F65+$G65-1),2,IF(AND($C65="Hito",CI$8&gt;=$F65,CI$8&lt;=$F65+$G65-1),1,""))</f>
        <v/>
      </c>
      <c r="CJ65" s="5" t="str">
        <f ca="1">IF(AND($C65="Objetivo",CJ$8&gt;=$F65,CJ$8&lt;=$F65+$G65-1),2,IF(AND($C65="Hito",CJ$8&gt;=$F65,CJ$8&lt;=$F65+$G65-1),1,""))</f>
        <v/>
      </c>
      <c r="CK65" s="5" t="str">
        <f ca="1">IF(AND($C65="Objetivo",CK$8&gt;=$F65,CK$8&lt;=$F65+$G65-1),2,IF(AND($C65="Hito",CK$8&gt;=$F65,CK$8&lt;=$F65+$G65-1),1,""))</f>
        <v/>
      </c>
      <c r="CL65" s="5" t="str">
        <f ca="1">IF(AND($C65="Objetivo",CL$8&gt;=$F65,CL$8&lt;=$F65+$G65-1),2,IF(AND($C65="Hito",CL$8&gt;=$F65,CL$8&lt;=$F65+$G65-1),1,""))</f>
        <v/>
      </c>
      <c r="CM65" s="5" t="str">
        <f ca="1">IF(AND($C65="Objetivo",CM$8&gt;=$F65,CM$8&lt;=$F65+$G65-1),2,IF(AND($C65="Hito",CM$8&gt;=$F65,CM$8&lt;=$F65+$G65-1),1,""))</f>
        <v/>
      </c>
      <c r="CN65" s="5" t="str">
        <f ca="1">IF(AND($C65="Objetivo",CN$8&gt;=$F65,CN$8&lt;=$F65+$G65-1),2,IF(AND($C65="Hito",CN$8&gt;=$F65,CN$8&lt;=$F65+$G65-1),1,""))</f>
        <v/>
      </c>
      <c r="CO65" s="5" t="str">
        <f ca="1">IF(AND($C65="Objetivo",CO$8&gt;=$F65,CO$8&lt;=$F65+$G65-1),2,IF(AND($C65="Hito",CO$8&gt;=$F65,CO$8&lt;=$F65+$G65-1),1,""))</f>
        <v/>
      </c>
      <c r="CP65" s="5" t="str">
        <f ca="1">IF(AND($C65="Objetivo",CP$8&gt;=$F65,CP$8&lt;=$F65+$G65-1),2,IF(AND($C65="Hito",CP$8&gt;=$F65,CP$8&lt;=$F65+$G65-1),1,""))</f>
        <v/>
      </c>
      <c r="CQ65" s="5" t="str">
        <f ca="1">IF(AND($C65="Objetivo",CQ$8&gt;=$F65,CQ$8&lt;=$F65+$G65-1),2,IF(AND($C65="Hito",CQ$8&gt;=$F65,CQ$8&lt;=$F65+$G65-1),1,""))</f>
        <v/>
      </c>
      <c r="CR65" s="5" t="str">
        <f ca="1">IF(AND($C65="Objetivo",CR$8&gt;=$F65,CR$8&lt;=$F65+$G65-1),2,IF(AND($C65="Hito",CR$8&gt;=$F65,CR$8&lt;=$F65+$G65-1),1,""))</f>
        <v/>
      </c>
      <c r="CS65" s="5" t="str">
        <f ca="1">IF(AND($C65="Objetivo",CS$8&gt;=$F65,CS$8&lt;=$F65+$G65-1),2,IF(AND($C65="Hito",CS$8&gt;=$F65,CS$8&lt;=$F65+$G65-1),1,""))</f>
        <v/>
      </c>
      <c r="CT65" s="5" t="str">
        <f ca="1">IF(AND($C65="Objetivo",CT$8&gt;=$F65,CT$8&lt;=$F65+$G65-1),2,IF(AND($C65="Hito",CT$8&gt;=$F65,CT$8&lt;=$F65+$G65-1),1,""))</f>
        <v/>
      </c>
      <c r="CU65" s="5" t="str">
        <f ca="1">IF(AND($C65="Objetivo",CU$8&gt;=$F65,CU$8&lt;=$F65+$G65-1),2,IF(AND($C65="Hito",CU$8&gt;=$F65,CU$8&lt;=$F65+$G65-1),1,""))</f>
        <v/>
      </c>
      <c r="CV65" s="5" t="str">
        <f ca="1">IF(AND($C65="Objetivo",CV$8&gt;=$F65,CV$8&lt;=$F65+$G65-1),2,IF(AND($C65="Hito",CV$8&gt;=$F65,CV$8&lt;=$F65+$G65-1),1,""))</f>
        <v/>
      </c>
      <c r="CW65" s="5" t="str">
        <f ca="1">IF(AND($C65="Objetivo",CW$8&gt;=$F65,CW$8&lt;=$F65+$G65-1),2,IF(AND($C65="Hito",CW$8&gt;=$F65,CW$8&lt;=$F65+$G65-1),1,""))</f>
        <v/>
      </c>
      <c r="CX65" s="5" t="str">
        <f ca="1">IF(AND($C65="Objetivo",CX$8&gt;=$F65,CX$8&lt;=$F65+$G65-1),2,IF(AND($C65="Hito",CX$8&gt;=$F65,CX$8&lt;=$F65+$G65-1),1,""))</f>
        <v/>
      </c>
      <c r="CY65" s="5" t="str">
        <f ca="1">IF(AND($C65="Objetivo",CY$8&gt;=$F65,CY$8&lt;=$F65+$G65-1),2,IF(AND($C65="Hito",CY$8&gt;=$F65,CY$8&lt;=$F65+$G65-1),1,""))</f>
        <v/>
      </c>
      <c r="CZ65" s="5" t="str">
        <f ca="1">IF(AND($C65="Objetivo",CZ$8&gt;=$F65,CZ$8&lt;=$F65+$G65-1),2,IF(AND($C65="Hito",CZ$8&gt;=$F65,CZ$8&lt;=$F65+$G65-1),1,""))</f>
        <v/>
      </c>
      <c r="DA65" s="5" t="str">
        <f ca="1">IF(AND($C65="Objetivo",DA$8&gt;=$F65,DA$8&lt;=$F65+$G65-1),2,IF(AND($C65="Hito",DA$8&gt;=$F65,DA$8&lt;=$F65+$G65-1),1,""))</f>
        <v/>
      </c>
      <c r="DB65" s="5" t="str">
        <f ca="1">IF(AND($C65="Objetivo",DB$8&gt;=$F65,DB$8&lt;=$F65+$G65-1),2,IF(AND($C65="Hito",DB$8&gt;=$F65,DB$8&lt;=$F65+$G65-1),1,""))</f>
        <v/>
      </c>
    </row>
    <row r="66" spans="2:106" ht="30" customHeight="1" x14ac:dyDescent="0.25">
      <c r="B66" s="34"/>
      <c r="C66" s="34"/>
      <c r="D66" s="34"/>
      <c r="E66" s="50"/>
      <c r="F66" s="40"/>
      <c r="G66" s="57"/>
      <c r="H66" s="29"/>
      <c r="I66" s="29"/>
      <c r="K66" s="5" t="str">
        <f ca="1">IF(AND($C66="Objetivo",K$8&gt;=$F66,K$8&lt;=$F66+$G66-1),2,IF(AND($C66="Hito",K$8&gt;=$F66,K$8&lt;=$F66+$G66-1),1,""))</f>
        <v/>
      </c>
      <c r="L66" s="5" t="str">
        <f ca="1">IF(AND($C66="Objetivo",L$8&gt;=$F66,L$8&lt;=$F66+$G66-1),2,IF(AND($C66="Hito",L$8&gt;=$F66,L$8&lt;=$F66+$G66-1),1,""))</f>
        <v/>
      </c>
      <c r="M66" s="5" t="str">
        <f ca="1">IF(AND($C66="Objetivo",M$8&gt;=$F66,M$8&lt;=$F66+$G66-1),2,IF(AND($C66="Hito",M$8&gt;=$F66,M$8&lt;=$F66+$G66-1),1,""))</f>
        <v/>
      </c>
      <c r="N66" s="5" t="str">
        <f ca="1">IF(AND($C66="Objetivo",N$8&gt;=$F66,N$8&lt;=$F66+$G66-1),2,IF(AND($C66="Hito",N$8&gt;=$F66,N$8&lt;=$F66+$G66-1),1,""))</f>
        <v/>
      </c>
      <c r="O66" s="5" t="str">
        <f ca="1">IF(AND($C66="Objetivo",O$8&gt;=$F66,O$8&lt;=$F66+$G66-1),2,IF(AND($C66="Hito",O$8&gt;=$F66,O$8&lt;=$F66+$G66-1),1,""))</f>
        <v/>
      </c>
      <c r="P66" s="5" t="str">
        <f ca="1">IF(AND($C66="Objetivo",P$8&gt;=$F66,P$8&lt;=$F66+$G66-1),2,IF(AND($C66="Hito",P$8&gt;=$F66,P$8&lt;=$F66+$G66-1),1,""))</f>
        <v/>
      </c>
      <c r="Q66" s="5" t="str">
        <f ca="1">IF(AND($C66="Objetivo",Q$8&gt;=$F66,Q$8&lt;=$F66+$G66-1),2,IF(AND($C66="Hito",Q$8&gt;=$F66,Q$8&lt;=$F66+$G66-1),1,""))</f>
        <v/>
      </c>
      <c r="R66" s="5" t="str">
        <f ca="1">IF(AND($C66="Objetivo",R$8&gt;=$F66,R$8&lt;=$F66+$G66-1),2,IF(AND($C66="Hito",R$8&gt;=$F66,R$8&lt;=$F66+$G66-1),1,""))</f>
        <v/>
      </c>
      <c r="S66" s="5" t="str">
        <f ca="1">IF(AND($C66="Objetivo",S$8&gt;=$F66,S$8&lt;=$F66+$G66-1),2,IF(AND($C66="Hito",S$8&gt;=$F66,S$8&lt;=$F66+$G66-1),1,""))</f>
        <v/>
      </c>
      <c r="T66" s="5" t="str">
        <f ca="1">IF(AND($C66="Objetivo",T$8&gt;=$F66,T$8&lt;=$F66+$G66-1),2,IF(AND($C66="Hito",T$8&gt;=$F66,T$8&lt;=$F66+$G66-1),1,""))</f>
        <v/>
      </c>
      <c r="U66" s="5" t="str">
        <f ca="1">IF(AND($C66="Objetivo",U$8&gt;=$F66,U$8&lt;=$F66+$G66-1),2,IF(AND($C66="Hito",U$8&gt;=$F66,U$8&lt;=$F66+$G66-1),1,""))</f>
        <v/>
      </c>
      <c r="V66" s="5" t="str">
        <f ca="1">IF(AND($C66="Objetivo",V$8&gt;=$F66,V$8&lt;=$F66+$G66-1),2,IF(AND($C66="Hito",V$8&gt;=$F66,V$8&lt;=$F66+$G66-1),1,""))</f>
        <v/>
      </c>
      <c r="W66" s="5" t="str">
        <f ca="1">IF(AND($C66="Objetivo",W$8&gt;=$F66,W$8&lt;=$F66+$G66-1),2,IF(AND($C66="Hito",W$8&gt;=$F66,W$8&lt;=$F66+$G66-1),1,""))</f>
        <v/>
      </c>
      <c r="X66" s="5" t="str">
        <f ca="1">IF(AND($C66="Objetivo",X$8&gt;=$F66,X$8&lt;=$F66+$G66-1),2,IF(AND($C66="Hito",X$8&gt;=$F66,X$8&lt;=$F66+$G66-1),1,""))</f>
        <v/>
      </c>
      <c r="Y66" s="5" t="str">
        <f ca="1">IF(AND($C66="Objetivo",Y$8&gt;=$F66,Y$8&lt;=$F66+$G66-1),2,IF(AND($C66="Hito",Y$8&gt;=$F66,Y$8&lt;=$F66+$G66-1),1,""))</f>
        <v/>
      </c>
      <c r="Z66" s="5" t="str">
        <f ca="1">IF(AND($C66="Objetivo",Z$8&gt;=$F66,Z$8&lt;=$F66+$G66-1),2,IF(AND($C66="Hito",Z$8&gt;=$F66,Z$8&lt;=$F66+$G66-1),1,""))</f>
        <v/>
      </c>
      <c r="AA66" s="5" t="str">
        <f ca="1">IF(AND($C66="Objetivo",AA$8&gt;=$F66,AA$8&lt;=$F66+$G66-1),2,IF(AND($C66="Hito",AA$8&gt;=$F66,AA$8&lt;=$F66+$G66-1),1,""))</f>
        <v/>
      </c>
      <c r="AB66" s="5" t="str">
        <f ca="1">IF(AND($C66="Objetivo",AB$8&gt;=$F66,AB$8&lt;=$F66+$G66-1),2,IF(AND($C66="Hito",AB$8&gt;=$F66,AB$8&lt;=$F66+$G66-1),1,""))</f>
        <v/>
      </c>
      <c r="AC66" s="5" t="str">
        <f ca="1">IF(AND($C66="Objetivo",AC$8&gt;=$F66,AC$8&lt;=$F66+$G66-1),2,IF(AND($C66="Hito",AC$8&gt;=$F66,AC$8&lt;=$F66+$G66-1),1,""))</f>
        <v/>
      </c>
      <c r="AD66" s="5" t="str">
        <f ca="1">IF(AND($C66="Objetivo",AD$8&gt;=$F66,AD$8&lt;=$F66+$G66-1),2,IF(AND($C66="Hito",AD$8&gt;=$F66,AD$8&lt;=$F66+$G66-1),1,""))</f>
        <v/>
      </c>
      <c r="AE66" s="5" t="str">
        <f ca="1">IF(AND($C66="Objetivo",AE$8&gt;=$F66,AE$8&lt;=$F66+$G66-1),2,IF(AND($C66="Hito",AE$8&gt;=$F66,AE$8&lt;=$F66+$G66-1),1,""))</f>
        <v/>
      </c>
      <c r="AF66" s="5" t="str">
        <f ca="1">IF(AND($C66="Objetivo",AF$8&gt;=$F66,AF$8&lt;=$F66+$G66-1),2,IF(AND($C66="Hito",AF$8&gt;=$F66,AF$8&lt;=$F66+$G66-1),1,""))</f>
        <v/>
      </c>
      <c r="AG66" s="5" t="str">
        <f ca="1">IF(AND($C66="Objetivo",AG$8&gt;=$F66,AG$8&lt;=$F66+$G66-1),2,IF(AND($C66="Hito",AG$8&gt;=$F66,AG$8&lt;=$F66+$G66-1),1,""))</f>
        <v/>
      </c>
      <c r="AH66" s="5" t="str">
        <f ca="1">IF(AND($C66="Objetivo",AH$8&gt;=$F66,AH$8&lt;=$F66+$G66-1),2,IF(AND($C66="Hito",AH$8&gt;=$F66,AH$8&lt;=$F66+$G66-1),1,""))</f>
        <v/>
      </c>
      <c r="AI66" s="5" t="str">
        <f ca="1">IF(AND($C66="Objetivo",AI$8&gt;=$F66,AI$8&lt;=$F66+$G66-1),2,IF(AND($C66="Hito",AI$8&gt;=$F66,AI$8&lt;=$F66+$G66-1),1,""))</f>
        <v/>
      </c>
      <c r="AJ66" s="5" t="str">
        <f ca="1">IF(AND($C66="Objetivo",AJ$8&gt;=$F66,AJ$8&lt;=$F66+$G66-1),2,IF(AND($C66="Hito",AJ$8&gt;=$F66,AJ$8&lt;=$F66+$G66-1),1,""))</f>
        <v/>
      </c>
      <c r="AK66" s="5" t="str">
        <f ca="1">IF(AND($C66="Objetivo",AK$8&gt;=$F66,AK$8&lt;=$F66+$G66-1),2,IF(AND($C66="Hito",AK$8&gt;=$F66,AK$8&lt;=$F66+$G66-1),1,""))</f>
        <v/>
      </c>
      <c r="AL66" s="5" t="str">
        <f ca="1">IF(AND($C66="Objetivo",AL$8&gt;=$F66,AL$8&lt;=$F66+$G66-1),2,IF(AND($C66="Hito",AL$8&gt;=$F66,AL$8&lt;=$F66+$G66-1),1,""))</f>
        <v/>
      </c>
      <c r="AM66" s="5" t="str">
        <f ca="1">IF(AND($C66="Objetivo",AM$8&gt;=$F66,AM$8&lt;=$F66+$G66-1),2,IF(AND($C66="Hito",AM$8&gt;=$F66,AM$8&lt;=$F66+$G66-1),1,""))</f>
        <v/>
      </c>
      <c r="AN66" s="5" t="str">
        <f ca="1">IF(AND($C66="Objetivo",AN$8&gt;=$F66,AN$8&lt;=$F66+$G66-1),2,IF(AND($C66="Hito",AN$8&gt;=$F66,AN$8&lt;=$F66+$G66-1),1,""))</f>
        <v/>
      </c>
      <c r="AO66" s="5" t="str">
        <f ca="1">IF(AND($C66="Objetivo",AO$8&gt;=$F66,AO$8&lt;=$F66+$G66-1),2,IF(AND($C66="Hito",AO$8&gt;=$F66,AO$8&lt;=$F66+$G66-1),1,""))</f>
        <v/>
      </c>
      <c r="AP66" s="5" t="str">
        <f ca="1">IF(AND($C66="Objetivo",AP$8&gt;=$F66,AP$8&lt;=$F66+$G66-1),2,IF(AND($C66="Hito",AP$8&gt;=$F66,AP$8&lt;=$F66+$G66-1),1,""))</f>
        <v/>
      </c>
      <c r="AQ66" s="5" t="str">
        <f ca="1">IF(AND($C66="Objetivo",AQ$8&gt;=$F66,AQ$8&lt;=$F66+$G66-1),2,IF(AND($C66="Hito",AQ$8&gt;=$F66,AQ$8&lt;=$F66+$G66-1),1,""))</f>
        <v/>
      </c>
      <c r="AR66" s="5" t="str">
        <f ca="1">IF(AND($C66="Objetivo",AR$8&gt;=$F66,AR$8&lt;=$F66+$G66-1),2,IF(AND($C66="Hito",AR$8&gt;=$F66,AR$8&lt;=$F66+$G66-1),1,""))</f>
        <v/>
      </c>
      <c r="AS66" s="5" t="str">
        <f ca="1">IF(AND($C66="Objetivo",AS$8&gt;=$F66,AS$8&lt;=$F66+$G66-1),2,IF(AND($C66="Hito",AS$8&gt;=$F66,AS$8&lt;=$F66+$G66-1),1,""))</f>
        <v/>
      </c>
      <c r="AT66" s="5" t="str">
        <f ca="1">IF(AND($C66="Objetivo",AT$8&gt;=$F66,AT$8&lt;=$F66+$G66-1),2,IF(AND($C66="Hito",AT$8&gt;=$F66,AT$8&lt;=$F66+$G66-1),1,""))</f>
        <v/>
      </c>
      <c r="AU66" s="5" t="str">
        <f ca="1">IF(AND($C66="Objetivo",AU$8&gt;=$F66,AU$8&lt;=$F66+$G66-1),2,IF(AND($C66="Hito",AU$8&gt;=$F66,AU$8&lt;=$F66+$G66-1),1,""))</f>
        <v/>
      </c>
      <c r="AV66" s="5" t="str">
        <f ca="1">IF(AND($C66="Objetivo",AV$8&gt;=$F66,AV$8&lt;=$F66+$G66-1),2,IF(AND($C66="Hito",AV$8&gt;=$F66,AV$8&lt;=$F66+$G66-1),1,""))</f>
        <v/>
      </c>
      <c r="AW66" s="5" t="str">
        <f ca="1">IF(AND($C66="Objetivo",AW$8&gt;=$F66,AW$8&lt;=$F66+$G66-1),2,IF(AND($C66="Hito",AW$8&gt;=$F66,AW$8&lt;=$F66+$G66-1),1,""))</f>
        <v/>
      </c>
      <c r="AX66" s="5" t="str">
        <f ca="1">IF(AND($C66="Objetivo",AX$8&gt;=$F66,AX$8&lt;=$F66+$G66-1),2,IF(AND($C66="Hito",AX$8&gt;=$F66,AX$8&lt;=$F66+$G66-1),1,""))</f>
        <v/>
      </c>
      <c r="AY66" s="5" t="str">
        <f ca="1">IF(AND($C66="Objetivo",AY$8&gt;=$F66,AY$8&lt;=$F66+$G66-1),2,IF(AND($C66="Hito",AY$8&gt;=$F66,AY$8&lt;=$F66+$G66-1),1,""))</f>
        <v/>
      </c>
      <c r="AZ66" s="5" t="str">
        <f ca="1">IF(AND($C66="Objetivo",AZ$8&gt;=$F66,AZ$8&lt;=$F66+$G66-1),2,IF(AND($C66="Hito",AZ$8&gt;=$F66,AZ$8&lt;=$F66+$G66-1),1,""))</f>
        <v/>
      </c>
      <c r="BA66" s="5" t="str">
        <f ca="1">IF(AND($C66="Objetivo",BA$8&gt;=$F66,BA$8&lt;=$F66+$G66-1),2,IF(AND($C66="Hito",BA$8&gt;=$F66,BA$8&lt;=$F66+$G66-1),1,""))</f>
        <v/>
      </c>
      <c r="BB66" s="5" t="str">
        <f ca="1">IF(AND($C66="Objetivo",BB$8&gt;=$F66,BB$8&lt;=$F66+$G66-1),2,IF(AND($C66="Hito",BB$8&gt;=$F66,BB$8&lt;=$F66+$G66-1),1,""))</f>
        <v/>
      </c>
      <c r="BC66" s="5" t="str">
        <f ca="1">IF(AND($C66="Objetivo",BC$8&gt;=$F66,BC$8&lt;=$F66+$G66-1),2,IF(AND($C66="Hito",BC$8&gt;=$F66,BC$8&lt;=$F66+$G66-1),1,""))</f>
        <v/>
      </c>
      <c r="BD66" s="5" t="str">
        <f ca="1">IF(AND($C66="Objetivo",BD$8&gt;=$F66,BD$8&lt;=$F66+$G66-1),2,IF(AND($C66="Hito",BD$8&gt;=$F66,BD$8&lt;=$F66+$G66-1),1,""))</f>
        <v/>
      </c>
      <c r="BE66" s="5" t="str">
        <f ca="1">IF(AND($C66="Objetivo",BE$8&gt;=$F66,BE$8&lt;=$F66+$G66-1),2,IF(AND($C66="Hito",BE$8&gt;=$F66,BE$8&lt;=$F66+$G66-1),1,""))</f>
        <v/>
      </c>
      <c r="BF66" s="5" t="str">
        <f ca="1">IF(AND($C66="Objetivo",BF$8&gt;=$F66,BF$8&lt;=$F66+$G66-1),2,IF(AND($C66="Hito",BF$8&gt;=$F66,BF$8&lt;=$F66+$G66-1),1,""))</f>
        <v/>
      </c>
      <c r="BG66" s="5" t="str">
        <f ca="1">IF(AND($C66="Objetivo",BG$8&gt;=$F66,BG$8&lt;=$F66+$G66-1),2,IF(AND($C66="Hito",BG$8&gt;=$F66,BG$8&lt;=$F66+$G66-1),1,""))</f>
        <v/>
      </c>
      <c r="BH66" s="5" t="str">
        <f ca="1">IF(AND($C66="Objetivo",BH$8&gt;=$F66,BH$8&lt;=$F66+$G66-1),2,IF(AND($C66="Hito",BH$8&gt;=$F66,BH$8&lt;=$F66+$G66-1),1,""))</f>
        <v/>
      </c>
      <c r="BI66" s="5" t="str">
        <f ca="1">IF(AND($C66="Objetivo",BI$8&gt;=$F66,BI$8&lt;=$F66+$G66-1),2,IF(AND($C66="Hito",BI$8&gt;=$F66,BI$8&lt;=$F66+$G66-1),1,""))</f>
        <v/>
      </c>
      <c r="BJ66" s="5" t="str">
        <f ca="1">IF(AND($C66="Objetivo",BJ$8&gt;=$F66,BJ$8&lt;=$F66+$G66-1),2,IF(AND($C66="Hito",BJ$8&gt;=$F66,BJ$8&lt;=$F66+$G66-1),1,""))</f>
        <v/>
      </c>
      <c r="BK66" s="5" t="str">
        <f ca="1">IF(AND($C66="Objetivo",BK$8&gt;=$F66,BK$8&lt;=$F66+$G66-1),2,IF(AND($C66="Hito",BK$8&gt;=$F66,BK$8&lt;=$F66+$G66-1),1,""))</f>
        <v/>
      </c>
      <c r="BL66" s="5" t="str">
        <f ca="1">IF(AND($C66="Objetivo",BL$8&gt;=$F66,BL$8&lt;=$F66+$G66-1),2,IF(AND($C66="Hito",BL$8&gt;=$F66,BL$8&lt;=$F66+$G66-1),1,""))</f>
        <v/>
      </c>
      <c r="BM66" s="5" t="str">
        <f ca="1">IF(AND($C66="Objetivo",BM$8&gt;=$F66,BM$8&lt;=$F66+$G66-1),2,IF(AND($C66="Hito",BM$8&gt;=$F66,BM$8&lt;=$F66+$G66-1),1,""))</f>
        <v/>
      </c>
      <c r="BN66" s="5" t="str">
        <f ca="1">IF(AND($C66="Objetivo",BN$8&gt;=$F66,BN$8&lt;=$F66+$G66-1),2,IF(AND($C66="Hito",BN$8&gt;=$F66,BN$8&lt;=$F66+$G66-1),1,""))</f>
        <v/>
      </c>
      <c r="BO66" s="5" t="str">
        <f ca="1">IF(AND($C66="Objetivo",BO$8&gt;=$F66,BO$8&lt;=$F66+$G66-1),2,IF(AND($C66="Hito",BO$8&gt;=$F66,BO$8&lt;=$F66+$G66-1),1,""))</f>
        <v/>
      </c>
      <c r="BP66" s="5" t="str">
        <f ca="1">IF(AND($C66="Objetivo",BP$8&gt;=$F66,BP$8&lt;=$F66+$G66-1),2,IF(AND($C66="Hito",BP$8&gt;=$F66,BP$8&lt;=$F66+$G66-1),1,""))</f>
        <v/>
      </c>
      <c r="BQ66" s="5" t="str">
        <f ca="1">IF(AND($C66="Objetivo",BQ$8&gt;=$F66,BQ$8&lt;=$F66+$G66-1),2,IF(AND($C66="Hito",BQ$8&gt;=$F66,BQ$8&lt;=$F66+$G66-1),1,""))</f>
        <v/>
      </c>
      <c r="BR66" s="5" t="str">
        <f ca="1">IF(AND($C66="Objetivo",BR$8&gt;=$F66,BR$8&lt;=$F66+$G66-1),2,IF(AND($C66="Hito",BR$8&gt;=$F66,BR$8&lt;=$F66+$G66-1),1,""))</f>
        <v/>
      </c>
      <c r="BS66" s="5" t="str">
        <f ca="1">IF(AND($C66="Objetivo",BS$8&gt;=$F66,BS$8&lt;=$F66+$G66-1),2,IF(AND($C66="Hito",BS$8&gt;=$F66,BS$8&lt;=$F66+$G66-1),1,""))</f>
        <v/>
      </c>
      <c r="BT66" s="5" t="str">
        <f ca="1">IF(AND($C66="Objetivo",BT$8&gt;=$F66,BT$8&lt;=$F66+$G66-1),2,IF(AND($C66="Hito",BT$8&gt;=$F66,BT$8&lt;=$F66+$G66-1),1,""))</f>
        <v/>
      </c>
      <c r="BU66" s="5" t="str">
        <f ca="1">IF(AND($C66="Objetivo",BU$8&gt;=$F66,BU$8&lt;=$F66+$G66-1),2,IF(AND($C66="Hito",BU$8&gt;=$F66,BU$8&lt;=$F66+$G66-1),1,""))</f>
        <v/>
      </c>
      <c r="BV66" s="5" t="str">
        <f ca="1">IF(AND($C66="Objetivo",BV$8&gt;=$F66,BV$8&lt;=$F66+$G66-1),2,IF(AND($C66="Hito",BV$8&gt;=$F66,BV$8&lt;=$F66+$G66-1),1,""))</f>
        <v/>
      </c>
      <c r="BW66" s="5" t="str">
        <f ca="1">IF(AND($C66="Objetivo",BW$8&gt;=$F66,BW$8&lt;=$F66+$G66-1),2,IF(AND($C66="Hito",BW$8&gt;=$F66,BW$8&lt;=$F66+$G66-1),1,""))</f>
        <v/>
      </c>
      <c r="BX66" s="5" t="str">
        <f ca="1">IF(AND($C66="Objetivo",BX$8&gt;=$F66,BX$8&lt;=$F66+$G66-1),2,IF(AND($C66="Hito",BX$8&gt;=$F66,BX$8&lt;=$F66+$G66-1),1,""))</f>
        <v/>
      </c>
      <c r="BY66" s="5" t="str">
        <f ca="1">IF(AND($C66="Objetivo",BY$8&gt;=$F66,BY$8&lt;=$F66+$G66-1),2,IF(AND($C66="Hito",BY$8&gt;=$F66,BY$8&lt;=$F66+$G66-1),1,""))</f>
        <v/>
      </c>
      <c r="BZ66" s="5" t="str">
        <f ca="1">IF(AND($C66="Objetivo",BZ$8&gt;=$F66,BZ$8&lt;=$F66+$G66-1),2,IF(AND($C66="Hito",BZ$8&gt;=$F66,BZ$8&lt;=$F66+$G66-1),1,""))</f>
        <v/>
      </c>
      <c r="CA66" s="5" t="str">
        <f ca="1">IF(AND($C66="Objetivo",CA$8&gt;=$F66,CA$8&lt;=$F66+$G66-1),2,IF(AND($C66="Hito",CA$8&gt;=$F66,CA$8&lt;=$F66+$G66-1),1,""))</f>
        <v/>
      </c>
      <c r="CB66" s="5" t="str">
        <f ca="1">IF(AND($C66="Objetivo",CB$8&gt;=$F66,CB$8&lt;=$F66+$G66-1),2,IF(AND($C66="Hito",CB$8&gt;=$F66,CB$8&lt;=$F66+$G66-1),1,""))</f>
        <v/>
      </c>
      <c r="CC66" s="5" t="str">
        <f ca="1">IF(AND($C66="Objetivo",CC$8&gt;=$F66,CC$8&lt;=$F66+$G66-1),2,IF(AND($C66="Hito",CC$8&gt;=$F66,CC$8&lt;=$F66+$G66-1),1,""))</f>
        <v/>
      </c>
      <c r="CD66" s="5" t="str">
        <f ca="1">IF(AND($C66="Objetivo",CD$8&gt;=$F66,CD$8&lt;=$F66+$G66-1),2,IF(AND($C66="Hito",CD$8&gt;=$F66,CD$8&lt;=$F66+$G66-1),1,""))</f>
        <v/>
      </c>
      <c r="CE66" s="5" t="str">
        <f ca="1">IF(AND($C66="Objetivo",CE$8&gt;=$F66,CE$8&lt;=$F66+$G66-1),2,IF(AND($C66="Hito",CE$8&gt;=$F66,CE$8&lt;=$F66+$G66-1),1,""))</f>
        <v/>
      </c>
      <c r="CF66" s="5" t="str">
        <f ca="1">IF(AND($C66="Objetivo",CF$8&gt;=$F66,CF$8&lt;=$F66+$G66-1),2,IF(AND($C66="Hito",CF$8&gt;=$F66,CF$8&lt;=$F66+$G66-1),1,""))</f>
        <v/>
      </c>
      <c r="CG66" s="5" t="str">
        <f ca="1">IF(AND($C66="Objetivo",CG$8&gt;=$F66,CG$8&lt;=$F66+$G66-1),2,IF(AND($C66="Hito",CG$8&gt;=$F66,CG$8&lt;=$F66+$G66-1),1,""))</f>
        <v/>
      </c>
      <c r="CH66" s="5" t="str">
        <f ca="1">IF(AND($C66="Objetivo",CH$8&gt;=$F66,CH$8&lt;=$F66+$G66-1),2,IF(AND($C66="Hito",CH$8&gt;=$F66,CH$8&lt;=$F66+$G66-1),1,""))</f>
        <v/>
      </c>
      <c r="CI66" s="5" t="str">
        <f ca="1">IF(AND($C66="Objetivo",CI$8&gt;=$F66,CI$8&lt;=$F66+$G66-1),2,IF(AND($C66="Hito",CI$8&gt;=$F66,CI$8&lt;=$F66+$G66-1),1,""))</f>
        <v/>
      </c>
      <c r="CJ66" s="5" t="str">
        <f ca="1">IF(AND($C66="Objetivo",CJ$8&gt;=$F66,CJ$8&lt;=$F66+$G66-1),2,IF(AND($C66="Hito",CJ$8&gt;=$F66,CJ$8&lt;=$F66+$G66-1),1,""))</f>
        <v/>
      </c>
      <c r="CK66" s="5" t="str">
        <f ca="1">IF(AND($C66="Objetivo",CK$8&gt;=$F66,CK$8&lt;=$F66+$G66-1),2,IF(AND($C66="Hito",CK$8&gt;=$F66,CK$8&lt;=$F66+$G66-1),1,""))</f>
        <v/>
      </c>
      <c r="CL66" s="5" t="str">
        <f ca="1">IF(AND($C66="Objetivo",CL$8&gt;=$F66,CL$8&lt;=$F66+$G66-1),2,IF(AND($C66="Hito",CL$8&gt;=$F66,CL$8&lt;=$F66+$G66-1),1,""))</f>
        <v/>
      </c>
      <c r="CM66" s="5" t="str">
        <f ca="1">IF(AND($C66="Objetivo",CM$8&gt;=$F66,CM$8&lt;=$F66+$G66-1),2,IF(AND($C66="Hito",CM$8&gt;=$F66,CM$8&lt;=$F66+$G66-1),1,""))</f>
        <v/>
      </c>
      <c r="CN66" s="5" t="str">
        <f ca="1">IF(AND($C66="Objetivo",CN$8&gt;=$F66,CN$8&lt;=$F66+$G66-1),2,IF(AND($C66="Hito",CN$8&gt;=$F66,CN$8&lt;=$F66+$G66-1),1,""))</f>
        <v/>
      </c>
      <c r="CO66" s="5" t="str">
        <f ca="1">IF(AND($C66="Objetivo",CO$8&gt;=$F66,CO$8&lt;=$F66+$G66-1),2,IF(AND($C66="Hito",CO$8&gt;=$F66,CO$8&lt;=$F66+$G66-1),1,""))</f>
        <v/>
      </c>
      <c r="CP66" s="5" t="str">
        <f ca="1">IF(AND($C66="Objetivo",CP$8&gt;=$F66,CP$8&lt;=$F66+$G66-1),2,IF(AND($C66="Hito",CP$8&gt;=$F66,CP$8&lt;=$F66+$G66-1),1,""))</f>
        <v/>
      </c>
      <c r="CQ66" s="5" t="str">
        <f ca="1">IF(AND($C66="Objetivo",CQ$8&gt;=$F66,CQ$8&lt;=$F66+$G66-1),2,IF(AND($C66="Hito",CQ$8&gt;=$F66,CQ$8&lt;=$F66+$G66-1),1,""))</f>
        <v/>
      </c>
      <c r="CR66" s="5" t="str">
        <f ca="1">IF(AND($C66="Objetivo",CR$8&gt;=$F66,CR$8&lt;=$F66+$G66-1),2,IF(AND($C66="Hito",CR$8&gt;=$F66,CR$8&lt;=$F66+$G66-1),1,""))</f>
        <v/>
      </c>
      <c r="CS66" s="5" t="str">
        <f ca="1">IF(AND($C66="Objetivo",CS$8&gt;=$F66,CS$8&lt;=$F66+$G66-1),2,IF(AND($C66="Hito",CS$8&gt;=$F66,CS$8&lt;=$F66+$G66-1),1,""))</f>
        <v/>
      </c>
      <c r="CT66" s="5" t="str">
        <f ca="1">IF(AND($C66="Objetivo",CT$8&gt;=$F66,CT$8&lt;=$F66+$G66-1),2,IF(AND($C66="Hito",CT$8&gt;=$F66,CT$8&lt;=$F66+$G66-1),1,""))</f>
        <v/>
      </c>
      <c r="CU66" s="5" t="str">
        <f ca="1">IF(AND($C66="Objetivo",CU$8&gt;=$F66,CU$8&lt;=$F66+$G66-1),2,IF(AND($C66="Hito",CU$8&gt;=$F66,CU$8&lt;=$F66+$G66-1),1,""))</f>
        <v/>
      </c>
      <c r="CV66" s="5" t="str">
        <f ca="1">IF(AND($C66="Objetivo",CV$8&gt;=$F66,CV$8&lt;=$F66+$G66-1),2,IF(AND($C66="Hito",CV$8&gt;=$F66,CV$8&lt;=$F66+$G66-1),1,""))</f>
        <v/>
      </c>
      <c r="CW66" s="5" t="str">
        <f ca="1">IF(AND($C66="Objetivo",CW$8&gt;=$F66,CW$8&lt;=$F66+$G66-1),2,IF(AND($C66="Hito",CW$8&gt;=$F66,CW$8&lt;=$F66+$G66-1),1,""))</f>
        <v/>
      </c>
      <c r="CX66" s="5" t="str">
        <f ca="1">IF(AND($C66="Objetivo",CX$8&gt;=$F66,CX$8&lt;=$F66+$G66-1),2,IF(AND($C66="Hito",CX$8&gt;=$F66,CX$8&lt;=$F66+$G66-1),1,""))</f>
        <v/>
      </c>
      <c r="CY66" s="5" t="str">
        <f ca="1">IF(AND($C66="Objetivo",CY$8&gt;=$F66,CY$8&lt;=$F66+$G66-1),2,IF(AND($C66="Hito",CY$8&gt;=$F66,CY$8&lt;=$F66+$G66-1),1,""))</f>
        <v/>
      </c>
      <c r="CZ66" s="5" t="str">
        <f ca="1">IF(AND($C66="Objetivo",CZ$8&gt;=$F66,CZ$8&lt;=$F66+$G66-1),2,IF(AND($C66="Hito",CZ$8&gt;=$F66,CZ$8&lt;=$F66+$G66-1),1,""))</f>
        <v/>
      </c>
      <c r="DA66" s="5" t="str">
        <f ca="1">IF(AND($C66="Objetivo",DA$8&gt;=$F66,DA$8&lt;=$F66+$G66-1),2,IF(AND($C66="Hito",DA$8&gt;=$F66,DA$8&lt;=$F66+$G66-1),1,""))</f>
        <v/>
      </c>
      <c r="DB66" s="5" t="str">
        <f ca="1">IF(AND($C66="Objetivo",DB$8&gt;=$F66,DB$8&lt;=$F66+$G66-1),2,IF(AND($C66="Hito",DB$8&gt;=$F66,DB$8&lt;=$F66+$G66-1),1,""))</f>
        <v/>
      </c>
    </row>
    <row r="67" spans="2:106" ht="23.25" x14ac:dyDescent="0.25">
      <c r="B67" s="39"/>
      <c r="C67" s="34"/>
      <c r="D67" s="34"/>
      <c r="E67" s="55"/>
      <c r="F67" s="40"/>
      <c r="G67" s="57"/>
      <c r="H67" s="29"/>
      <c r="I67" s="29"/>
      <c r="K67" s="5" t="str">
        <f ca="1">IF(AND($C67="Objetivo",K$8&gt;=$F67,K$8&lt;=$F67+$G67-1),2,IF(AND($C67="Hito",K$8&gt;=$F67,K$8&lt;=$F67+$G67-1),1,""))</f>
        <v/>
      </c>
      <c r="L67" s="5" t="str">
        <f ca="1">IF(AND($C67="Objetivo",L$8&gt;=$F67,L$8&lt;=$F67+$G67-1),2,IF(AND($C67="Hito",L$8&gt;=$F67,L$8&lt;=$F67+$G67-1),1,""))</f>
        <v/>
      </c>
      <c r="M67" s="5" t="str">
        <f ca="1">IF(AND($C67="Objetivo",M$8&gt;=$F67,M$8&lt;=$F67+$G67-1),2,IF(AND($C67="Hito",M$8&gt;=$F67,M$8&lt;=$F67+$G67-1),1,""))</f>
        <v/>
      </c>
      <c r="N67" s="5" t="str">
        <f ca="1">IF(AND($C67="Objetivo",N$8&gt;=$F67,N$8&lt;=$F67+$G67-1),2,IF(AND($C67="Hito",N$8&gt;=$F67,N$8&lt;=$F67+$G67-1),1,""))</f>
        <v/>
      </c>
      <c r="O67" s="5" t="str">
        <f ca="1">IF(AND($C67="Objetivo",O$8&gt;=$F67,O$8&lt;=$F67+$G67-1),2,IF(AND($C67="Hito",O$8&gt;=$F67,O$8&lt;=$F67+$G67-1),1,""))</f>
        <v/>
      </c>
      <c r="P67" s="5" t="str">
        <f ca="1">IF(AND($C67="Objetivo",P$8&gt;=$F67,P$8&lt;=$F67+$G67-1),2,IF(AND($C67="Hito",P$8&gt;=$F67,P$8&lt;=$F67+$G67-1),1,""))</f>
        <v/>
      </c>
      <c r="Q67" s="5" t="str">
        <f ca="1">IF(AND($C67="Objetivo",Q$8&gt;=$F67,Q$8&lt;=$F67+$G67-1),2,IF(AND($C67="Hito",Q$8&gt;=$F67,Q$8&lt;=$F67+$G67-1),1,""))</f>
        <v/>
      </c>
      <c r="R67" s="5" t="str">
        <f ca="1">IF(AND($C67="Objetivo",R$8&gt;=$F67,R$8&lt;=$F67+$G67-1),2,IF(AND($C67="Hito",R$8&gt;=$F67,R$8&lt;=$F67+$G67-1),1,""))</f>
        <v/>
      </c>
      <c r="S67" s="5" t="str">
        <f ca="1">IF(AND($C67="Objetivo",S$8&gt;=$F67,S$8&lt;=$F67+$G67-1),2,IF(AND($C67="Hito",S$8&gt;=$F67,S$8&lt;=$F67+$G67-1),1,""))</f>
        <v/>
      </c>
      <c r="T67" s="5" t="str">
        <f ca="1">IF(AND($C67="Objetivo",T$8&gt;=$F67,T$8&lt;=$F67+$G67-1),2,IF(AND($C67="Hito",T$8&gt;=$F67,T$8&lt;=$F67+$G67-1),1,""))</f>
        <v/>
      </c>
      <c r="U67" s="5" t="str">
        <f ca="1">IF(AND($C67="Objetivo",U$8&gt;=$F67,U$8&lt;=$F67+$G67-1),2,IF(AND($C67="Hito",U$8&gt;=$F67,U$8&lt;=$F67+$G67-1),1,""))</f>
        <v/>
      </c>
      <c r="V67" s="5" t="str">
        <f ca="1">IF(AND($C67="Objetivo",V$8&gt;=$F67,V$8&lt;=$F67+$G67-1),2,IF(AND($C67="Hito",V$8&gt;=$F67,V$8&lt;=$F67+$G67-1),1,""))</f>
        <v/>
      </c>
      <c r="W67" s="5" t="str">
        <f ca="1">IF(AND($C67="Objetivo",W$8&gt;=$F67,W$8&lt;=$F67+$G67-1),2,IF(AND($C67="Hito",W$8&gt;=$F67,W$8&lt;=$F67+$G67-1),1,""))</f>
        <v/>
      </c>
      <c r="X67" s="5" t="str">
        <f ca="1">IF(AND($C67="Objetivo",X$8&gt;=$F67,X$8&lt;=$F67+$G67-1),2,IF(AND($C67="Hito",X$8&gt;=$F67,X$8&lt;=$F67+$G67-1),1,""))</f>
        <v/>
      </c>
      <c r="Y67" s="5" t="str">
        <f ca="1">IF(AND($C67="Objetivo",Y$8&gt;=$F67,Y$8&lt;=$F67+$G67-1),2,IF(AND($C67="Hito",Y$8&gt;=$F67,Y$8&lt;=$F67+$G67-1),1,""))</f>
        <v/>
      </c>
      <c r="Z67" s="5" t="str">
        <f ca="1">IF(AND($C67="Objetivo",Z$8&gt;=$F67,Z$8&lt;=$F67+$G67-1),2,IF(AND($C67="Hito",Z$8&gt;=$F67,Z$8&lt;=$F67+$G67-1),1,""))</f>
        <v/>
      </c>
      <c r="AA67" s="5" t="str">
        <f ca="1">IF(AND($C67="Objetivo",AA$8&gt;=$F67,AA$8&lt;=$F67+$G67-1),2,IF(AND($C67="Hito",AA$8&gt;=$F67,AA$8&lt;=$F67+$G67-1),1,""))</f>
        <v/>
      </c>
      <c r="AB67" s="5" t="str">
        <f ca="1">IF(AND($C67="Objetivo",AB$8&gt;=$F67,AB$8&lt;=$F67+$G67-1),2,IF(AND($C67="Hito",AB$8&gt;=$F67,AB$8&lt;=$F67+$G67-1),1,""))</f>
        <v/>
      </c>
      <c r="AC67" s="5" t="str">
        <f ca="1">IF(AND($C67="Objetivo",AC$8&gt;=$F67,AC$8&lt;=$F67+$G67-1),2,IF(AND($C67="Hito",AC$8&gt;=$F67,AC$8&lt;=$F67+$G67-1),1,""))</f>
        <v/>
      </c>
      <c r="AD67" s="5" t="str">
        <f ca="1">IF(AND($C67="Objetivo",AD$8&gt;=$F67,AD$8&lt;=$F67+$G67-1),2,IF(AND($C67="Hito",AD$8&gt;=$F67,AD$8&lt;=$F67+$G67-1),1,""))</f>
        <v/>
      </c>
      <c r="AE67" s="5" t="str">
        <f ca="1">IF(AND($C67="Objetivo",AE$8&gt;=$F67,AE$8&lt;=$F67+$G67-1),2,IF(AND($C67="Hito",AE$8&gt;=$F67,AE$8&lt;=$F67+$G67-1),1,""))</f>
        <v/>
      </c>
      <c r="AF67" s="5" t="str">
        <f ca="1">IF(AND($C67="Objetivo",AF$8&gt;=$F67,AF$8&lt;=$F67+$G67-1),2,IF(AND($C67="Hito",AF$8&gt;=$F67,AF$8&lt;=$F67+$G67-1),1,""))</f>
        <v/>
      </c>
      <c r="AG67" s="5" t="str">
        <f ca="1">IF(AND($C67="Objetivo",AG$8&gt;=$F67,AG$8&lt;=$F67+$G67-1),2,IF(AND($C67="Hito",AG$8&gt;=$F67,AG$8&lt;=$F67+$G67-1),1,""))</f>
        <v/>
      </c>
      <c r="AH67" s="5" t="str">
        <f ca="1">IF(AND($C67="Objetivo",AH$8&gt;=$F67,AH$8&lt;=$F67+$G67-1),2,IF(AND($C67="Hito",AH$8&gt;=$F67,AH$8&lt;=$F67+$G67-1),1,""))</f>
        <v/>
      </c>
      <c r="AI67" s="5" t="str">
        <f ca="1">IF(AND($C67="Objetivo",AI$8&gt;=$F67,AI$8&lt;=$F67+$G67-1),2,IF(AND($C67="Hito",AI$8&gt;=$F67,AI$8&lt;=$F67+$G67-1),1,""))</f>
        <v/>
      </c>
      <c r="AJ67" s="5" t="str">
        <f ca="1">IF(AND($C67="Objetivo",AJ$8&gt;=$F67,AJ$8&lt;=$F67+$G67-1),2,IF(AND($C67="Hito",AJ$8&gt;=$F67,AJ$8&lt;=$F67+$G67-1),1,""))</f>
        <v/>
      </c>
      <c r="AK67" s="5" t="str">
        <f ca="1">IF(AND($C67="Objetivo",AK$8&gt;=$F67,AK$8&lt;=$F67+$G67-1),2,IF(AND($C67="Hito",AK$8&gt;=$F67,AK$8&lt;=$F67+$G67-1),1,""))</f>
        <v/>
      </c>
      <c r="AL67" s="5" t="str">
        <f ca="1">IF(AND($C67="Objetivo",AL$8&gt;=$F67,AL$8&lt;=$F67+$G67-1),2,IF(AND($C67="Hito",AL$8&gt;=$F67,AL$8&lt;=$F67+$G67-1),1,""))</f>
        <v/>
      </c>
      <c r="AM67" s="5" t="str">
        <f ca="1">IF(AND($C67="Objetivo",AM$8&gt;=$F67,AM$8&lt;=$F67+$G67-1),2,IF(AND($C67="Hito",AM$8&gt;=$F67,AM$8&lt;=$F67+$G67-1),1,""))</f>
        <v/>
      </c>
      <c r="AN67" s="5" t="str">
        <f ca="1">IF(AND($C67="Objetivo",AN$8&gt;=$F67,AN$8&lt;=$F67+$G67-1),2,IF(AND($C67="Hito",AN$8&gt;=$F67,AN$8&lt;=$F67+$G67-1),1,""))</f>
        <v/>
      </c>
      <c r="AO67" s="5" t="str">
        <f ca="1">IF(AND($C67="Objetivo",AO$8&gt;=$F67,AO$8&lt;=$F67+$G67-1),2,IF(AND($C67="Hito",AO$8&gt;=$F67,AO$8&lt;=$F67+$G67-1),1,""))</f>
        <v/>
      </c>
      <c r="AP67" s="5" t="str">
        <f ca="1">IF(AND($C67="Objetivo",AP$8&gt;=$F67,AP$8&lt;=$F67+$G67-1),2,IF(AND($C67="Hito",AP$8&gt;=$F67,AP$8&lt;=$F67+$G67-1),1,""))</f>
        <v/>
      </c>
      <c r="AQ67" s="5" t="str">
        <f ca="1">IF(AND($C67="Objetivo",AQ$8&gt;=$F67,AQ$8&lt;=$F67+$G67-1),2,IF(AND($C67="Hito",AQ$8&gt;=$F67,AQ$8&lt;=$F67+$G67-1),1,""))</f>
        <v/>
      </c>
      <c r="AR67" s="5" t="str">
        <f ca="1">IF(AND($C67="Objetivo",AR$8&gt;=$F67,AR$8&lt;=$F67+$G67-1),2,IF(AND($C67="Hito",AR$8&gt;=$F67,AR$8&lt;=$F67+$G67-1),1,""))</f>
        <v/>
      </c>
      <c r="AS67" s="5" t="str">
        <f ca="1">IF(AND($C67="Objetivo",AS$8&gt;=$F67,AS$8&lt;=$F67+$G67-1),2,IF(AND($C67="Hito",AS$8&gt;=$F67,AS$8&lt;=$F67+$G67-1),1,""))</f>
        <v/>
      </c>
      <c r="AT67" s="5" t="str">
        <f ca="1">IF(AND($C67="Objetivo",AT$8&gt;=$F67,AT$8&lt;=$F67+$G67-1),2,IF(AND($C67="Hito",AT$8&gt;=$F67,AT$8&lt;=$F67+$G67-1),1,""))</f>
        <v/>
      </c>
      <c r="AU67" s="5" t="str">
        <f ca="1">IF(AND($C67="Objetivo",AU$8&gt;=$F67,AU$8&lt;=$F67+$G67-1),2,IF(AND($C67="Hito",AU$8&gt;=$F67,AU$8&lt;=$F67+$G67-1),1,""))</f>
        <v/>
      </c>
      <c r="AV67" s="5" t="str">
        <f ca="1">IF(AND($C67="Objetivo",AV$8&gt;=$F67,AV$8&lt;=$F67+$G67-1),2,IF(AND($C67="Hito",AV$8&gt;=$F67,AV$8&lt;=$F67+$G67-1),1,""))</f>
        <v/>
      </c>
      <c r="AW67" s="5" t="str">
        <f ca="1">IF(AND($C67="Objetivo",AW$8&gt;=$F67,AW$8&lt;=$F67+$G67-1),2,IF(AND($C67="Hito",AW$8&gt;=$F67,AW$8&lt;=$F67+$G67-1),1,""))</f>
        <v/>
      </c>
      <c r="AX67" s="5" t="str">
        <f ca="1">IF(AND($C67="Objetivo",AX$8&gt;=$F67,AX$8&lt;=$F67+$G67-1),2,IF(AND($C67="Hito",AX$8&gt;=$F67,AX$8&lt;=$F67+$G67-1),1,""))</f>
        <v/>
      </c>
      <c r="AY67" s="5" t="str">
        <f ca="1">IF(AND($C67="Objetivo",AY$8&gt;=$F67,AY$8&lt;=$F67+$G67-1),2,IF(AND($C67="Hito",AY$8&gt;=$F67,AY$8&lt;=$F67+$G67-1),1,""))</f>
        <v/>
      </c>
      <c r="AZ67" s="5" t="str">
        <f ca="1">IF(AND($C67="Objetivo",AZ$8&gt;=$F67,AZ$8&lt;=$F67+$G67-1),2,IF(AND($C67="Hito",AZ$8&gt;=$F67,AZ$8&lt;=$F67+$G67-1),1,""))</f>
        <v/>
      </c>
      <c r="BA67" s="5" t="str">
        <f ca="1">IF(AND($C67="Objetivo",BA$8&gt;=$F67,BA$8&lt;=$F67+$G67-1),2,IF(AND($C67="Hito",BA$8&gt;=$F67,BA$8&lt;=$F67+$G67-1),1,""))</f>
        <v/>
      </c>
      <c r="BB67" s="5" t="str">
        <f ca="1">IF(AND($C67="Objetivo",BB$8&gt;=$F67,BB$8&lt;=$F67+$G67-1),2,IF(AND($C67="Hito",BB$8&gt;=$F67,BB$8&lt;=$F67+$G67-1),1,""))</f>
        <v/>
      </c>
      <c r="BC67" s="5" t="str">
        <f ca="1">IF(AND($C67="Objetivo",BC$8&gt;=$F67,BC$8&lt;=$F67+$G67-1),2,IF(AND($C67="Hito",BC$8&gt;=$F67,BC$8&lt;=$F67+$G67-1),1,""))</f>
        <v/>
      </c>
      <c r="BD67" s="5" t="str">
        <f ca="1">IF(AND($C67="Objetivo",BD$8&gt;=$F67,BD$8&lt;=$F67+$G67-1),2,IF(AND($C67="Hito",BD$8&gt;=$F67,BD$8&lt;=$F67+$G67-1),1,""))</f>
        <v/>
      </c>
      <c r="BE67" s="5" t="str">
        <f ca="1">IF(AND($C67="Objetivo",BE$8&gt;=$F67,BE$8&lt;=$F67+$G67-1),2,IF(AND($C67="Hito",BE$8&gt;=$F67,BE$8&lt;=$F67+$G67-1),1,""))</f>
        <v/>
      </c>
      <c r="BF67" s="5" t="str">
        <f ca="1">IF(AND($C67="Objetivo",BF$8&gt;=$F67,BF$8&lt;=$F67+$G67-1),2,IF(AND($C67="Hito",BF$8&gt;=$F67,BF$8&lt;=$F67+$G67-1),1,""))</f>
        <v/>
      </c>
      <c r="BG67" s="5" t="str">
        <f ca="1">IF(AND($C67="Objetivo",BG$8&gt;=$F67,BG$8&lt;=$F67+$G67-1),2,IF(AND($C67="Hito",BG$8&gt;=$F67,BG$8&lt;=$F67+$G67-1),1,""))</f>
        <v/>
      </c>
      <c r="BH67" s="5" t="str">
        <f ca="1">IF(AND($C67="Objetivo",BH$8&gt;=$F67,BH$8&lt;=$F67+$G67-1),2,IF(AND($C67="Hito",BH$8&gt;=$F67,BH$8&lt;=$F67+$G67-1),1,""))</f>
        <v/>
      </c>
      <c r="BI67" s="5" t="str">
        <f ca="1">IF(AND($C67="Objetivo",BI$8&gt;=$F67,BI$8&lt;=$F67+$G67-1),2,IF(AND($C67="Hito",BI$8&gt;=$F67,BI$8&lt;=$F67+$G67-1),1,""))</f>
        <v/>
      </c>
      <c r="BJ67" s="5" t="str">
        <f ca="1">IF(AND($C67="Objetivo",BJ$8&gt;=$F67,BJ$8&lt;=$F67+$G67-1),2,IF(AND($C67="Hito",BJ$8&gt;=$F67,BJ$8&lt;=$F67+$G67-1),1,""))</f>
        <v/>
      </c>
      <c r="BK67" s="5" t="str">
        <f ca="1">IF(AND($C67="Objetivo",BK$8&gt;=$F67,BK$8&lt;=$F67+$G67-1),2,IF(AND($C67="Hito",BK$8&gt;=$F67,BK$8&lt;=$F67+$G67-1),1,""))</f>
        <v/>
      </c>
      <c r="BL67" s="5" t="str">
        <f ca="1">IF(AND($C67="Objetivo",BL$8&gt;=$F67,BL$8&lt;=$F67+$G67-1),2,IF(AND($C67="Hito",BL$8&gt;=$F67,BL$8&lt;=$F67+$G67-1),1,""))</f>
        <v/>
      </c>
      <c r="BM67" s="5" t="str">
        <f ca="1">IF(AND($C67="Objetivo",BM$8&gt;=$F67,BM$8&lt;=$F67+$G67-1),2,IF(AND($C67="Hito",BM$8&gt;=$F67,BM$8&lt;=$F67+$G67-1),1,""))</f>
        <v/>
      </c>
      <c r="BN67" s="5" t="str">
        <f ca="1">IF(AND($C67="Objetivo",BN$8&gt;=$F67,BN$8&lt;=$F67+$G67-1),2,IF(AND($C67="Hito",BN$8&gt;=$F67,BN$8&lt;=$F67+$G67-1),1,""))</f>
        <v/>
      </c>
      <c r="BO67" s="5" t="str">
        <f ca="1">IF(AND($C67="Objetivo",BO$8&gt;=$F67,BO$8&lt;=$F67+$G67-1),2,IF(AND($C67="Hito",BO$8&gt;=$F67,BO$8&lt;=$F67+$G67-1),1,""))</f>
        <v/>
      </c>
      <c r="BP67" s="5" t="str">
        <f ca="1">IF(AND($C67="Objetivo",BP$8&gt;=$F67,BP$8&lt;=$F67+$G67-1),2,IF(AND($C67="Hito",BP$8&gt;=$F67,BP$8&lt;=$F67+$G67-1),1,""))</f>
        <v/>
      </c>
      <c r="BQ67" s="5" t="str">
        <f ca="1">IF(AND($C67="Objetivo",BQ$8&gt;=$F67,BQ$8&lt;=$F67+$G67-1),2,IF(AND($C67="Hito",BQ$8&gt;=$F67,BQ$8&lt;=$F67+$G67-1),1,""))</f>
        <v/>
      </c>
      <c r="BR67" s="5" t="str">
        <f ca="1">IF(AND($C67="Objetivo",BR$8&gt;=$F67,BR$8&lt;=$F67+$G67-1),2,IF(AND($C67="Hito",BR$8&gt;=$F67,BR$8&lt;=$F67+$G67-1),1,""))</f>
        <v/>
      </c>
      <c r="BS67" s="5" t="str">
        <f ca="1">IF(AND($C67="Objetivo",BS$8&gt;=$F67,BS$8&lt;=$F67+$G67-1),2,IF(AND($C67="Hito",BS$8&gt;=$F67,BS$8&lt;=$F67+$G67-1),1,""))</f>
        <v/>
      </c>
      <c r="BT67" s="5" t="str">
        <f ca="1">IF(AND($C67="Objetivo",BT$8&gt;=$F67,BT$8&lt;=$F67+$G67-1),2,IF(AND($C67="Hito",BT$8&gt;=$F67,BT$8&lt;=$F67+$G67-1),1,""))</f>
        <v/>
      </c>
      <c r="BU67" s="5" t="str">
        <f ca="1">IF(AND($C67="Objetivo",BU$8&gt;=$F67,BU$8&lt;=$F67+$G67-1),2,IF(AND($C67="Hito",BU$8&gt;=$F67,BU$8&lt;=$F67+$G67-1),1,""))</f>
        <v/>
      </c>
      <c r="BV67" s="5" t="str">
        <f ca="1">IF(AND($C67="Objetivo",BV$8&gt;=$F67,BV$8&lt;=$F67+$G67-1),2,IF(AND($C67="Hito",BV$8&gt;=$F67,BV$8&lt;=$F67+$G67-1),1,""))</f>
        <v/>
      </c>
      <c r="BW67" s="5" t="str">
        <f ca="1">IF(AND($C67="Objetivo",BW$8&gt;=$F67,BW$8&lt;=$F67+$G67-1),2,IF(AND($C67="Hito",BW$8&gt;=$F67,BW$8&lt;=$F67+$G67-1),1,""))</f>
        <v/>
      </c>
      <c r="BX67" s="5" t="str">
        <f ca="1">IF(AND($C67="Objetivo",BX$8&gt;=$F67,BX$8&lt;=$F67+$G67-1),2,IF(AND($C67="Hito",BX$8&gt;=$F67,BX$8&lt;=$F67+$G67-1),1,""))</f>
        <v/>
      </c>
      <c r="BY67" s="5" t="str">
        <f ca="1">IF(AND($C67="Objetivo",BY$8&gt;=$F67,BY$8&lt;=$F67+$G67-1),2,IF(AND($C67="Hito",BY$8&gt;=$F67,BY$8&lt;=$F67+$G67-1),1,""))</f>
        <v/>
      </c>
      <c r="BZ67" s="5" t="str">
        <f ca="1">IF(AND($C67="Objetivo",BZ$8&gt;=$F67,BZ$8&lt;=$F67+$G67-1),2,IF(AND($C67="Hito",BZ$8&gt;=$F67,BZ$8&lt;=$F67+$G67-1),1,""))</f>
        <v/>
      </c>
      <c r="CA67" s="5" t="str">
        <f ca="1">IF(AND($C67="Objetivo",CA$8&gt;=$F67,CA$8&lt;=$F67+$G67-1),2,IF(AND($C67="Hito",CA$8&gt;=$F67,CA$8&lt;=$F67+$G67-1),1,""))</f>
        <v/>
      </c>
      <c r="CB67" s="5" t="str">
        <f ca="1">IF(AND($C67="Objetivo",CB$8&gt;=$F67,CB$8&lt;=$F67+$G67-1),2,IF(AND($C67="Hito",CB$8&gt;=$F67,CB$8&lt;=$F67+$G67-1),1,""))</f>
        <v/>
      </c>
      <c r="CC67" s="5" t="str">
        <f ca="1">IF(AND($C67="Objetivo",CC$8&gt;=$F67,CC$8&lt;=$F67+$G67-1),2,IF(AND($C67="Hito",CC$8&gt;=$F67,CC$8&lt;=$F67+$G67-1),1,""))</f>
        <v/>
      </c>
      <c r="CD67" s="5" t="str">
        <f ca="1">IF(AND($C67="Objetivo",CD$8&gt;=$F67,CD$8&lt;=$F67+$G67-1),2,IF(AND($C67="Hito",CD$8&gt;=$F67,CD$8&lt;=$F67+$G67-1),1,""))</f>
        <v/>
      </c>
      <c r="CE67" s="5" t="str">
        <f ca="1">IF(AND($C67="Objetivo",CE$8&gt;=$F67,CE$8&lt;=$F67+$G67-1),2,IF(AND($C67="Hito",CE$8&gt;=$F67,CE$8&lt;=$F67+$G67-1),1,""))</f>
        <v/>
      </c>
      <c r="CF67" s="5" t="str">
        <f ca="1">IF(AND($C67="Objetivo",CF$8&gt;=$F67,CF$8&lt;=$F67+$G67-1),2,IF(AND($C67="Hito",CF$8&gt;=$F67,CF$8&lt;=$F67+$G67-1),1,""))</f>
        <v/>
      </c>
      <c r="CG67" s="5" t="str">
        <f ca="1">IF(AND($C67="Objetivo",CG$8&gt;=$F67,CG$8&lt;=$F67+$G67-1),2,IF(AND($C67="Hito",CG$8&gt;=$F67,CG$8&lt;=$F67+$G67-1),1,""))</f>
        <v/>
      </c>
      <c r="CH67" s="5" t="str">
        <f ca="1">IF(AND($C67="Objetivo",CH$8&gt;=$F67,CH$8&lt;=$F67+$G67-1),2,IF(AND($C67="Hito",CH$8&gt;=$F67,CH$8&lt;=$F67+$G67-1),1,""))</f>
        <v/>
      </c>
      <c r="CI67" s="5" t="str">
        <f ca="1">IF(AND($C67="Objetivo",CI$8&gt;=$F67,CI$8&lt;=$F67+$G67-1),2,IF(AND($C67="Hito",CI$8&gt;=$F67,CI$8&lt;=$F67+$G67-1),1,""))</f>
        <v/>
      </c>
      <c r="CJ67" s="5" t="str">
        <f ca="1">IF(AND($C67="Objetivo",CJ$8&gt;=$F67,CJ$8&lt;=$F67+$G67-1),2,IF(AND($C67="Hito",CJ$8&gt;=$F67,CJ$8&lt;=$F67+$G67-1),1,""))</f>
        <v/>
      </c>
      <c r="CK67" s="5" t="str">
        <f ca="1">IF(AND($C67="Objetivo",CK$8&gt;=$F67,CK$8&lt;=$F67+$G67-1),2,IF(AND($C67="Hito",CK$8&gt;=$F67,CK$8&lt;=$F67+$G67-1),1,""))</f>
        <v/>
      </c>
      <c r="CL67" s="5" t="str">
        <f ca="1">IF(AND($C67="Objetivo",CL$8&gt;=$F67,CL$8&lt;=$F67+$G67-1),2,IF(AND($C67="Hito",CL$8&gt;=$F67,CL$8&lt;=$F67+$G67-1),1,""))</f>
        <v/>
      </c>
      <c r="CM67" s="5" t="str">
        <f ca="1">IF(AND($C67="Objetivo",CM$8&gt;=$F67,CM$8&lt;=$F67+$G67-1),2,IF(AND($C67="Hito",CM$8&gt;=$F67,CM$8&lt;=$F67+$G67-1),1,""))</f>
        <v/>
      </c>
      <c r="CN67" s="5" t="str">
        <f ca="1">IF(AND($C67="Objetivo",CN$8&gt;=$F67,CN$8&lt;=$F67+$G67-1),2,IF(AND($C67="Hito",CN$8&gt;=$F67,CN$8&lt;=$F67+$G67-1),1,""))</f>
        <v/>
      </c>
      <c r="CO67" s="5" t="str">
        <f ca="1">IF(AND($C67="Objetivo",CO$8&gt;=$F67,CO$8&lt;=$F67+$G67-1),2,IF(AND($C67="Hito",CO$8&gt;=$F67,CO$8&lt;=$F67+$G67-1),1,""))</f>
        <v/>
      </c>
      <c r="CP67" s="5" t="str">
        <f ca="1">IF(AND($C67="Objetivo",CP$8&gt;=$F67,CP$8&lt;=$F67+$G67-1),2,IF(AND($C67="Hito",CP$8&gt;=$F67,CP$8&lt;=$F67+$G67-1),1,""))</f>
        <v/>
      </c>
      <c r="CQ67" s="5" t="str">
        <f ca="1">IF(AND($C67="Objetivo",CQ$8&gt;=$F67,CQ$8&lt;=$F67+$G67-1),2,IF(AND($C67="Hito",CQ$8&gt;=$F67,CQ$8&lt;=$F67+$G67-1),1,""))</f>
        <v/>
      </c>
      <c r="CR67" s="5" t="str">
        <f ca="1">IF(AND($C67="Objetivo",CR$8&gt;=$F67,CR$8&lt;=$F67+$G67-1),2,IF(AND($C67="Hito",CR$8&gt;=$F67,CR$8&lt;=$F67+$G67-1),1,""))</f>
        <v/>
      </c>
      <c r="CS67" s="5" t="str">
        <f ca="1">IF(AND($C67="Objetivo",CS$8&gt;=$F67,CS$8&lt;=$F67+$G67-1),2,IF(AND($C67="Hito",CS$8&gt;=$F67,CS$8&lt;=$F67+$G67-1),1,""))</f>
        <v/>
      </c>
      <c r="CT67" s="5" t="str">
        <f ca="1">IF(AND($C67="Objetivo",CT$8&gt;=$F67,CT$8&lt;=$F67+$G67-1),2,IF(AND($C67="Hito",CT$8&gt;=$F67,CT$8&lt;=$F67+$G67-1),1,""))</f>
        <v/>
      </c>
      <c r="CU67" s="5" t="str">
        <f ca="1">IF(AND($C67="Objetivo",CU$8&gt;=$F67,CU$8&lt;=$F67+$G67-1),2,IF(AND($C67="Hito",CU$8&gt;=$F67,CU$8&lt;=$F67+$G67-1),1,""))</f>
        <v/>
      </c>
      <c r="CV67" s="5" t="str">
        <f ca="1">IF(AND($C67="Objetivo",CV$8&gt;=$F67,CV$8&lt;=$F67+$G67-1),2,IF(AND($C67="Hito",CV$8&gt;=$F67,CV$8&lt;=$F67+$G67-1),1,""))</f>
        <v/>
      </c>
      <c r="CW67" s="5" t="str">
        <f ca="1">IF(AND($C67="Objetivo",CW$8&gt;=$F67,CW$8&lt;=$F67+$G67-1),2,IF(AND($C67="Hito",CW$8&gt;=$F67,CW$8&lt;=$F67+$G67-1),1,""))</f>
        <v/>
      </c>
      <c r="CX67" s="5" t="str">
        <f ca="1">IF(AND($C67="Objetivo",CX$8&gt;=$F67,CX$8&lt;=$F67+$G67-1),2,IF(AND($C67="Hito",CX$8&gt;=$F67,CX$8&lt;=$F67+$G67-1),1,""))</f>
        <v/>
      </c>
      <c r="CY67" s="5" t="str">
        <f ca="1">IF(AND($C67="Objetivo",CY$8&gt;=$F67,CY$8&lt;=$F67+$G67-1),2,IF(AND($C67="Hito",CY$8&gt;=$F67,CY$8&lt;=$F67+$G67-1),1,""))</f>
        <v/>
      </c>
      <c r="CZ67" s="5" t="str">
        <f ca="1">IF(AND($C67="Objetivo",CZ$8&gt;=$F67,CZ$8&lt;=$F67+$G67-1),2,IF(AND($C67="Hito",CZ$8&gt;=$F67,CZ$8&lt;=$F67+$G67-1),1,""))</f>
        <v/>
      </c>
      <c r="DA67" s="5" t="str">
        <f ca="1">IF(AND($C67="Objetivo",DA$8&gt;=$F67,DA$8&lt;=$F67+$G67-1),2,IF(AND($C67="Hito",DA$8&gt;=$F67,DA$8&lt;=$F67+$G67-1),1,""))</f>
        <v/>
      </c>
      <c r="DB67" s="5" t="str">
        <f ca="1">IF(AND($C67="Objetivo",DB$8&gt;=$F67,DB$8&lt;=$F67+$G67-1),2,IF(AND($C67="Hito",DB$8&gt;=$F67,DB$8&lt;=$F67+$G67-1),1,""))</f>
        <v/>
      </c>
    </row>
    <row r="68" spans="2:106" ht="15" x14ac:dyDescent="0.25">
      <c r="B68" s="34"/>
      <c r="C68" s="34"/>
      <c r="D68" s="34"/>
      <c r="E68" s="50"/>
      <c r="F68" s="40"/>
      <c r="G68" s="57"/>
      <c r="H68" s="29"/>
      <c r="I68" s="29"/>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c r="BM68" s="5"/>
      <c r="BN68" s="5"/>
      <c r="BO68" s="5"/>
      <c r="BP68" s="5"/>
      <c r="BQ68" s="5"/>
      <c r="BR68" s="5"/>
      <c r="BS68" s="5"/>
      <c r="BT68" s="5"/>
      <c r="BU68" s="5"/>
      <c r="BV68" s="5"/>
      <c r="BW68" s="5"/>
      <c r="BX68" s="5"/>
      <c r="BY68" s="5"/>
      <c r="BZ68" s="5"/>
      <c r="CA68" s="5"/>
      <c r="CB68" s="5"/>
      <c r="CC68" s="5"/>
      <c r="CD68" s="5"/>
      <c r="CE68" s="5"/>
      <c r="CF68" s="5"/>
      <c r="CG68" s="5"/>
      <c r="CH68" s="5"/>
      <c r="CI68" s="5"/>
      <c r="CJ68" s="5"/>
      <c r="CK68" s="5"/>
      <c r="CL68" s="5"/>
      <c r="CM68" s="5"/>
      <c r="CN68" s="5"/>
      <c r="CO68" s="5"/>
      <c r="CP68" s="5"/>
      <c r="CQ68" s="5"/>
      <c r="CR68" s="5"/>
      <c r="CS68" s="5"/>
      <c r="CT68" s="5"/>
      <c r="CU68" s="5"/>
      <c r="CV68" s="5"/>
      <c r="CW68" s="5"/>
      <c r="CX68" s="5"/>
      <c r="CY68" s="5"/>
      <c r="CZ68" s="5"/>
      <c r="DA68" s="5"/>
      <c r="DB68" s="5"/>
    </row>
    <row r="69" spans="2:106" ht="15" x14ac:dyDescent="0.25">
      <c r="B69" s="41"/>
      <c r="C69" s="34"/>
      <c r="D69" s="34"/>
      <c r="E69" s="50"/>
      <c r="F69" s="40"/>
      <c r="G69" s="57"/>
      <c r="H69" s="29"/>
      <c r="I69" s="29"/>
      <c r="K69" s="5" t="str">
        <f ca="1">IF(AND($C69="Objetivo",K$8&gt;=$F69,K$8&lt;=$F69+$G69-1),2,IF(AND($C69="Hito",K$8&gt;=$F69,K$8&lt;=$F69+$G69-1),1,""))</f>
        <v/>
      </c>
      <c r="L69" s="5" t="str">
        <f ca="1">IF(AND($C69="Objetivo",L$8&gt;=$F69,L$8&lt;=$F69+$G69-1),2,IF(AND($C69="Hito",L$8&gt;=$F69,L$8&lt;=$F69+$G69-1),1,""))</f>
        <v/>
      </c>
      <c r="M69" s="5" t="str">
        <f ca="1">IF(AND($C69="Objetivo",M$8&gt;=$F69,M$8&lt;=$F69+$G69-1),2,IF(AND($C69="Hito",M$8&gt;=$F69,M$8&lt;=$F69+$G69-1),1,""))</f>
        <v/>
      </c>
      <c r="N69" s="5" t="str">
        <f ca="1">IF(AND($C69="Objetivo",N$8&gt;=$F69,N$8&lt;=$F69+$G69-1),2,IF(AND($C69="Hito",N$8&gt;=$F69,N$8&lt;=$F69+$G69-1),1,""))</f>
        <v/>
      </c>
      <c r="O69" s="5" t="str">
        <f ca="1">IF(AND($C69="Objetivo",O$8&gt;=$F69,O$8&lt;=$F69+$G69-1),2,IF(AND($C69="Hito",O$8&gt;=$F69,O$8&lt;=$F69+$G69-1),1,""))</f>
        <v/>
      </c>
      <c r="P69" s="5" t="str">
        <f ca="1">IF(AND($C69="Objetivo",P$8&gt;=$F69,P$8&lt;=$F69+$G69-1),2,IF(AND($C69="Hito",P$8&gt;=$F69,P$8&lt;=$F69+$G69-1),1,""))</f>
        <v/>
      </c>
      <c r="Q69" s="5" t="str">
        <f ca="1">IF(AND($C69="Objetivo",Q$8&gt;=$F69,Q$8&lt;=$F69+$G69-1),2,IF(AND($C69="Hito",Q$8&gt;=$F69,Q$8&lt;=$F69+$G69-1),1,""))</f>
        <v/>
      </c>
      <c r="R69" s="5" t="str">
        <f ca="1">IF(AND($C69="Objetivo",R$8&gt;=$F69,R$8&lt;=$F69+$G69-1),2,IF(AND($C69="Hito",R$8&gt;=$F69,R$8&lt;=$F69+$G69-1),1,""))</f>
        <v/>
      </c>
      <c r="S69" s="5" t="str">
        <f ca="1">IF(AND($C69="Objetivo",S$8&gt;=$F69,S$8&lt;=$F69+$G69-1),2,IF(AND($C69="Hito",S$8&gt;=$F69,S$8&lt;=$F69+$G69-1),1,""))</f>
        <v/>
      </c>
      <c r="T69" s="5" t="str">
        <f ca="1">IF(AND($C69="Objetivo",T$8&gt;=$F69,T$8&lt;=$F69+$G69-1),2,IF(AND($C69="Hito",T$8&gt;=$F69,T$8&lt;=$F69+$G69-1),1,""))</f>
        <v/>
      </c>
      <c r="U69" s="5" t="str">
        <f ca="1">IF(AND($C69="Objetivo",U$8&gt;=$F69,U$8&lt;=$F69+$G69-1),2,IF(AND($C69="Hito",U$8&gt;=$F69,U$8&lt;=$F69+$G69-1),1,""))</f>
        <v/>
      </c>
      <c r="V69" s="5" t="str">
        <f ca="1">IF(AND($C69="Objetivo",V$8&gt;=$F69,V$8&lt;=$F69+$G69-1),2,IF(AND($C69="Hito",V$8&gt;=$F69,V$8&lt;=$F69+$G69-1),1,""))</f>
        <v/>
      </c>
      <c r="W69" s="5" t="str">
        <f ca="1">IF(AND($C69="Objetivo",W$8&gt;=$F69,W$8&lt;=$F69+$G69-1),2,IF(AND($C69="Hito",W$8&gt;=$F69,W$8&lt;=$F69+$G69-1),1,""))</f>
        <v/>
      </c>
      <c r="X69" s="5" t="str">
        <f ca="1">IF(AND($C69="Objetivo",X$8&gt;=$F69,X$8&lt;=$F69+$G69-1),2,IF(AND($C69="Hito",X$8&gt;=$F69,X$8&lt;=$F69+$G69-1),1,""))</f>
        <v/>
      </c>
      <c r="Y69" s="5" t="str">
        <f ca="1">IF(AND($C69="Objetivo",Y$8&gt;=$F69,Y$8&lt;=$F69+$G69-1),2,IF(AND($C69="Hito",Y$8&gt;=$F69,Y$8&lt;=$F69+$G69-1),1,""))</f>
        <v/>
      </c>
      <c r="Z69" s="5" t="str">
        <f ca="1">IF(AND($C69="Objetivo",Z$8&gt;=$F69,Z$8&lt;=$F69+$G69-1),2,IF(AND($C69="Hito",Z$8&gt;=$F69,Z$8&lt;=$F69+$G69-1),1,""))</f>
        <v/>
      </c>
      <c r="AA69" s="5" t="str">
        <f ca="1">IF(AND($C69="Objetivo",AA$8&gt;=$F69,AA$8&lt;=$F69+$G69-1),2,IF(AND($C69="Hito",AA$8&gt;=$F69,AA$8&lt;=$F69+$G69-1),1,""))</f>
        <v/>
      </c>
      <c r="AB69" s="5" t="str">
        <f ca="1">IF(AND($C69="Objetivo",AB$8&gt;=$F69,AB$8&lt;=$F69+$G69-1),2,IF(AND($C69="Hito",AB$8&gt;=$F69,AB$8&lt;=$F69+$G69-1),1,""))</f>
        <v/>
      </c>
      <c r="AC69" s="5" t="str">
        <f ca="1">IF(AND($C69="Objetivo",AC$8&gt;=$F69,AC$8&lt;=$F69+$G69-1),2,IF(AND($C69="Hito",AC$8&gt;=$F69,AC$8&lt;=$F69+$G69-1),1,""))</f>
        <v/>
      </c>
      <c r="AD69" s="5" t="str">
        <f ca="1">IF(AND($C69="Objetivo",AD$8&gt;=$F69,AD$8&lt;=$F69+$G69-1),2,IF(AND($C69="Hito",AD$8&gt;=$F69,AD$8&lt;=$F69+$G69-1),1,""))</f>
        <v/>
      </c>
      <c r="AE69" s="5" t="str">
        <f ca="1">IF(AND($C69="Objetivo",AE$8&gt;=$F69,AE$8&lt;=$F69+$G69-1),2,IF(AND($C69="Hito",AE$8&gt;=$F69,AE$8&lt;=$F69+$G69-1),1,""))</f>
        <v/>
      </c>
      <c r="AF69" s="5" t="str">
        <f ca="1">IF(AND($C69="Objetivo",AF$8&gt;=$F69,AF$8&lt;=$F69+$G69-1),2,IF(AND($C69="Hito",AF$8&gt;=$F69,AF$8&lt;=$F69+$G69-1),1,""))</f>
        <v/>
      </c>
      <c r="AG69" s="5" t="str">
        <f ca="1">IF(AND($C69="Objetivo",AG$8&gt;=$F69,AG$8&lt;=$F69+$G69-1),2,IF(AND($C69="Hito",AG$8&gt;=$F69,AG$8&lt;=$F69+$G69-1),1,""))</f>
        <v/>
      </c>
      <c r="AH69" s="5" t="str">
        <f ca="1">IF(AND($C69="Objetivo",AH$8&gt;=$F69,AH$8&lt;=$F69+$G69-1),2,IF(AND($C69="Hito",AH$8&gt;=$F69,AH$8&lt;=$F69+$G69-1),1,""))</f>
        <v/>
      </c>
      <c r="AI69" s="5" t="str">
        <f ca="1">IF(AND($C69="Objetivo",AI$8&gt;=$F69,AI$8&lt;=$F69+$G69-1),2,IF(AND($C69="Hito",AI$8&gt;=$F69,AI$8&lt;=$F69+$G69-1),1,""))</f>
        <v/>
      </c>
      <c r="AJ69" s="5" t="str">
        <f ca="1">IF(AND($C69="Objetivo",AJ$8&gt;=$F69,AJ$8&lt;=$F69+$G69-1),2,IF(AND($C69="Hito",AJ$8&gt;=$F69,AJ$8&lt;=$F69+$G69-1),1,""))</f>
        <v/>
      </c>
      <c r="AK69" s="5" t="str">
        <f ca="1">IF(AND($C69="Objetivo",AK$8&gt;=$F69,AK$8&lt;=$F69+$G69-1),2,IF(AND($C69="Hito",AK$8&gt;=$F69,AK$8&lt;=$F69+$G69-1),1,""))</f>
        <v/>
      </c>
      <c r="AL69" s="5" t="str">
        <f ca="1">IF(AND($C69="Objetivo",AL$8&gt;=$F69,AL$8&lt;=$F69+$G69-1),2,IF(AND($C69="Hito",AL$8&gt;=$F69,AL$8&lt;=$F69+$G69-1),1,""))</f>
        <v/>
      </c>
      <c r="AM69" s="5" t="str">
        <f ca="1">IF(AND($C69="Objetivo",AM$8&gt;=$F69,AM$8&lt;=$F69+$G69-1),2,IF(AND($C69="Hito",AM$8&gt;=$F69,AM$8&lt;=$F69+$G69-1),1,""))</f>
        <v/>
      </c>
      <c r="AN69" s="5" t="str">
        <f ca="1">IF(AND($C69="Objetivo",AN$8&gt;=$F69,AN$8&lt;=$F69+$G69-1),2,IF(AND($C69="Hito",AN$8&gt;=$F69,AN$8&lt;=$F69+$G69-1),1,""))</f>
        <v/>
      </c>
      <c r="AO69" s="5" t="str">
        <f ca="1">IF(AND($C69="Objetivo",AO$8&gt;=$F69,AO$8&lt;=$F69+$G69-1),2,IF(AND($C69="Hito",AO$8&gt;=$F69,AO$8&lt;=$F69+$G69-1),1,""))</f>
        <v/>
      </c>
      <c r="AP69" s="5" t="str">
        <f ca="1">IF(AND($C69="Objetivo",AP$8&gt;=$F69,AP$8&lt;=$F69+$G69-1),2,IF(AND($C69="Hito",AP$8&gt;=$F69,AP$8&lt;=$F69+$G69-1),1,""))</f>
        <v/>
      </c>
      <c r="AQ69" s="5" t="str">
        <f ca="1">IF(AND($C69="Objetivo",AQ$8&gt;=$F69,AQ$8&lt;=$F69+$G69-1),2,IF(AND($C69="Hito",AQ$8&gt;=$F69,AQ$8&lt;=$F69+$G69-1),1,""))</f>
        <v/>
      </c>
      <c r="AR69" s="5" t="str">
        <f ca="1">IF(AND($C69="Objetivo",AR$8&gt;=$F69,AR$8&lt;=$F69+$G69-1),2,IF(AND($C69="Hito",AR$8&gt;=$F69,AR$8&lt;=$F69+$G69-1),1,""))</f>
        <v/>
      </c>
      <c r="AS69" s="5" t="str">
        <f ca="1">IF(AND($C69="Objetivo",AS$8&gt;=$F69,AS$8&lt;=$F69+$G69-1),2,IF(AND($C69="Hito",AS$8&gt;=$F69,AS$8&lt;=$F69+$G69-1),1,""))</f>
        <v/>
      </c>
      <c r="AT69" s="5" t="str">
        <f ca="1">IF(AND($C69="Objetivo",AT$8&gt;=$F69,AT$8&lt;=$F69+$G69-1),2,IF(AND($C69="Hito",AT$8&gt;=$F69,AT$8&lt;=$F69+$G69-1),1,""))</f>
        <v/>
      </c>
      <c r="AU69" s="5" t="str">
        <f ca="1">IF(AND($C69="Objetivo",AU$8&gt;=$F69,AU$8&lt;=$F69+$G69-1),2,IF(AND($C69="Hito",AU$8&gt;=$F69,AU$8&lt;=$F69+$G69-1),1,""))</f>
        <v/>
      </c>
      <c r="AV69" s="5" t="str">
        <f ca="1">IF(AND($C69="Objetivo",AV$8&gt;=$F69,AV$8&lt;=$F69+$G69-1),2,IF(AND($C69="Hito",AV$8&gt;=$F69,AV$8&lt;=$F69+$G69-1),1,""))</f>
        <v/>
      </c>
      <c r="AW69" s="5" t="str">
        <f ca="1">IF(AND($C69="Objetivo",AW$8&gt;=$F69,AW$8&lt;=$F69+$G69-1),2,IF(AND($C69="Hito",AW$8&gt;=$F69,AW$8&lt;=$F69+$G69-1),1,""))</f>
        <v/>
      </c>
      <c r="AX69" s="5" t="str">
        <f ca="1">IF(AND($C69="Objetivo",AX$8&gt;=$F69,AX$8&lt;=$F69+$G69-1),2,IF(AND($C69="Hito",AX$8&gt;=$F69,AX$8&lt;=$F69+$G69-1),1,""))</f>
        <v/>
      </c>
      <c r="AY69" s="5" t="str">
        <f ca="1">IF(AND($C69="Objetivo",AY$8&gt;=$F69,AY$8&lt;=$F69+$G69-1),2,IF(AND($C69="Hito",AY$8&gt;=$F69,AY$8&lt;=$F69+$G69-1),1,""))</f>
        <v/>
      </c>
      <c r="AZ69" s="5" t="str">
        <f ca="1">IF(AND($C69="Objetivo",AZ$8&gt;=$F69,AZ$8&lt;=$F69+$G69-1),2,IF(AND($C69="Hito",AZ$8&gt;=$F69,AZ$8&lt;=$F69+$G69-1),1,""))</f>
        <v/>
      </c>
      <c r="BA69" s="5" t="str">
        <f ca="1">IF(AND($C69="Objetivo",BA$8&gt;=$F69,BA$8&lt;=$F69+$G69-1),2,IF(AND($C69="Hito",BA$8&gt;=$F69,BA$8&lt;=$F69+$G69-1),1,""))</f>
        <v/>
      </c>
      <c r="BB69" s="5" t="str">
        <f ca="1">IF(AND($C69="Objetivo",BB$8&gt;=$F69,BB$8&lt;=$F69+$G69-1),2,IF(AND($C69="Hito",BB$8&gt;=$F69,BB$8&lt;=$F69+$G69-1),1,""))</f>
        <v/>
      </c>
      <c r="BC69" s="5" t="str">
        <f ca="1">IF(AND($C69="Objetivo",BC$8&gt;=$F69,BC$8&lt;=$F69+$G69-1),2,IF(AND($C69="Hito",BC$8&gt;=$F69,BC$8&lt;=$F69+$G69-1),1,""))</f>
        <v/>
      </c>
      <c r="BD69" s="5" t="str">
        <f ca="1">IF(AND($C69="Objetivo",BD$8&gt;=$F69,BD$8&lt;=$F69+$G69-1),2,IF(AND($C69="Hito",BD$8&gt;=$F69,BD$8&lt;=$F69+$G69-1),1,""))</f>
        <v/>
      </c>
      <c r="BE69" s="5" t="str">
        <f ca="1">IF(AND($C69="Objetivo",BE$8&gt;=$F69,BE$8&lt;=$F69+$G69-1),2,IF(AND($C69="Hito",BE$8&gt;=$F69,BE$8&lt;=$F69+$G69-1),1,""))</f>
        <v/>
      </c>
      <c r="BF69" s="5" t="str">
        <f ca="1">IF(AND($C69="Objetivo",BF$8&gt;=$F69,BF$8&lt;=$F69+$G69-1),2,IF(AND($C69="Hito",BF$8&gt;=$F69,BF$8&lt;=$F69+$G69-1),1,""))</f>
        <v/>
      </c>
      <c r="BG69" s="5" t="str">
        <f ca="1">IF(AND($C69="Objetivo",BG$8&gt;=$F69,BG$8&lt;=$F69+$G69-1),2,IF(AND($C69="Hito",BG$8&gt;=$F69,BG$8&lt;=$F69+$G69-1),1,""))</f>
        <v/>
      </c>
      <c r="BH69" s="5" t="str">
        <f ca="1">IF(AND($C69="Objetivo",BH$8&gt;=$F69,BH$8&lt;=$F69+$G69-1),2,IF(AND($C69="Hito",BH$8&gt;=$F69,BH$8&lt;=$F69+$G69-1),1,""))</f>
        <v/>
      </c>
      <c r="BI69" s="5" t="str">
        <f ca="1">IF(AND($C69="Objetivo",BI$8&gt;=$F69,BI$8&lt;=$F69+$G69-1),2,IF(AND($C69="Hito",BI$8&gt;=$F69,BI$8&lt;=$F69+$G69-1),1,""))</f>
        <v/>
      </c>
      <c r="BJ69" s="5" t="str">
        <f ca="1">IF(AND($C69="Objetivo",BJ$8&gt;=$F69,BJ$8&lt;=$F69+$G69-1),2,IF(AND($C69="Hito",BJ$8&gt;=$F69,BJ$8&lt;=$F69+$G69-1),1,""))</f>
        <v/>
      </c>
      <c r="BK69" s="5" t="str">
        <f ca="1">IF(AND($C69="Objetivo",BK$8&gt;=$F69,BK$8&lt;=$F69+$G69-1),2,IF(AND($C69="Hito",BK$8&gt;=$F69,BK$8&lt;=$F69+$G69-1),1,""))</f>
        <v/>
      </c>
      <c r="BL69" s="5" t="str">
        <f ca="1">IF(AND($C69="Objetivo",BL$8&gt;=$F69,BL$8&lt;=$F69+$G69-1),2,IF(AND($C69="Hito",BL$8&gt;=$F69,BL$8&lt;=$F69+$G69-1),1,""))</f>
        <v/>
      </c>
      <c r="BM69" s="5" t="str">
        <f ca="1">IF(AND($C69="Objetivo",BM$8&gt;=$F69,BM$8&lt;=$F69+$G69-1),2,IF(AND($C69="Hito",BM$8&gt;=$F69,BM$8&lt;=$F69+$G69-1),1,""))</f>
        <v/>
      </c>
      <c r="BN69" s="5" t="str">
        <f ca="1">IF(AND($C69="Objetivo",BN$8&gt;=$F69,BN$8&lt;=$F69+$G69-1),2,IF(AND($C69="Hito",BN$8&gt;=$F69,BN$8&lt;=$F69+$G69-1),1,""))</f>
        <v/>
      </c>
      <c r="BO69" s="5" t="str">
        <f ca="1">IF(AND($C69="Objetivo",BO$8&gt;=$F69,BO$8&lt;=$F69+$G69-1),2,IF(AND($C69="Hito",BO$8&gt;=$F69,BO$8&lt;=$F69+$G69-1),1,""))</f>
        <v/>
      </c>
      <c r="BP69" s="5" t="str">
        <f ca="1">IF(AND($C69="Objetivo",BP$8&gt;=$F69,BP$8&lt;=$F69+$G69-1),2,IF(AND($C69="Hito",BP$8&gt;=$F69,BP$8&lt;=$F69+$G69-1),1,""))</f>
        <v/>
      </c>
      <c r="BQ69" s="5" t="str">
        <f ca="1">IF(AND($C69="Objetivo",BQ$8&gt;=$F69,BQ$8&lt;=$F69+$G69-1),2,IF(AND($C69="Hito",BQ$8&gt;=$F69,BQ$8&lt;=$F69+$G69-1),1,""))</f>
        <v/>
      </c>
      <c r="BR69" s="5" t="str">
        <f ca="1">IF(AND($C69="Objetivo",BR$8&gt;=$F69,BR$8&lt;=$F69+$G69-1),2,IF(AND($C69="Hito",BR$8&gt;=$F69,BR$8&lt;=$F69+$G69-1),1,""))</f>
        <v/>
      </c>
      <c r="BS69" s="5" t="str">
        <f ca="1">IF(AND($C69="Objetivo",BS$8&gt;=$F69,BS$8&lt;=$F69+$G69-1),2,IF(AND($C69="Hito",BS$8&gt;=$F69,BS$8&lt;=$F69+$G69-1),1,""))</f>
        <v/>
      </c>
      <c r="BT69" s="5" t="str">
        <f ca="1">IF(AND($C69="Objetivo",BT$8&gt;=$F69,BT$8&lt;=$F69+$G69-1),2,IF(AND($C69="Hito",BT$8&gt;=$F69,BT$8&lt;=$F69+$G69-1),1,""))</f>
        <v/>
      </c>
      <c r="BU69" s="5" t="str">
        <f ca="1">IF(AND($C69="Objetivo",BU$8&gt;=$F69,BU$8&lt;=$F69+$G69-1),2,IF(AND($C69="Hito",BU$8&gt;=$F69,BU$8&lt;=$F69+$G69-1),1,""))</f>
        <v/>
      </c>
      <c r="BV69" s="5" t="str">
        <f ca="1">IF(AND($C69="Objetivo",BV$8&gt;=$F69,BV$8&lt;=$F69+$G69-1),2,IF(AND($C69="Hito",BV$8&gt;=$F69,BV$8&lt;=$F69+$G69-1),1,""))</f>
        <v/>
      </c>
      <c r="BW69" s="5" t="str">
        <f ca="1">IF(AND($C69="Objetivo",BW$8&gt;=$F69,BW$8&lt;=$F69+$G69-1),2,IF(AND($C69="Hito",BW$8&gt;=$F69,BW$8&lt;=$F69+$G69-1),1,""))</f>
        <v/>
      </c>
      <c r="BX69" s="5" t="str">
        <f ca="1">IF(AND($C69="Objetivo",BX$8&gt;=$F69,BX$8&lt;=$F69+$G69-1),2,IF(AND($C69="Hito",BX$8&gt;=$F69,BX$8&lt;=$F69+$G69-1),1,""))</f>
        <v/>
      </c>
      <c r="BY69" s="5" t="str">
        <f ca="1">IF(AND($C69="Objetivo",BY$8&gt;=$F69,BY$8&lt;=$F69+$G69-1),2,IF(AND($C69="Hito",BY$8&gt;=$F69,BY$8&lt;=$F69+$G69-1),1,""))</f>
        <v/>
      </c>
      <c r="BZ69" s="5" t="str">
        <f ca="1">IF(AND($C69="Objetivo",BZ$8&gt;=$F69,BZ$8&lt;=$F69+$G69-1),2,IF(AND($C69="Hito",BZ$8&gt;=$F69,BZ$8&lt;=$F69+$G69-1),1,""))</f>
        <v/>
      </c>
      <c r="CA69" s="5" t="str">
        <f ca="1">IF(AND($C69="Objetivo",CA$8&gt;=$F69,CA$8&lt;=$F69+$G69-1),2,IF(AND($C69="Hito",CA$8&gt;=$F69,CA$8&lt;=$F69+$G69-1),1,""))</f>
        <v/>
      </c>
      <c r="CB69" s="5" t="str">
        <f ca="1">IF(AND($C69="Objetivo",CB$8&gt;=$F69,CB$8&lt;=$F69+$G69-1),2,IF(AND($C69="Hito",CB$8&gt;=$F69,CB$8&lt;=$F69+$G69-1),1,""))</f>
        <v/>
      </c>
      <c r="CC69" s="5" t="str">
        <f ca="1">IF(AND($C69="Objetivo",CC$8&gt;=$F69,CC$8&lt;=$F69+$G69-1),2,IF(AND($C69="Hito",CC$8&gt;=$F69,CC$8&lt;=$F69+$G69-1),1,""))</f>
        <v/>
      </c>
      <c r="CD69" s="5" t="str">
        <f ca="1">IF(AND($C69="Objetivo",CD$8&gt;=$F69,CD$8&lt;=$F69+$G69-1),2,IF(AND($C69="Hito",CD$8&gt;=$F69,CD$8&lt;=$F69+$G69-1),1,""))</f>
        <v/>
      </c>
      <c r="CE69" s="5" t="str">
        <f ca="1">IF(AND($C69="Objetivo",CE$8&gt;=$F69,CE$8&lt;=$F69+$G69-1),2,IF(AND($C69="Hito",CE$8&gt;=$F69,CE$8&lt;=$F69+$G69-1),1,""))</f>
        <v/>
      </c>
      <c r="CF69" s="5" t="str">
        <f ca="1">IF(AND($C69="Objetivo",CF$8&gt;=$F69,CF$8&lt;=$F69+$G69-1),2,IF(AND($C69="Hito",CF$8&gt;=$F69,CF$8&lt;=$F69+$G69-1),1,""))</f>
        <v/>
      </c>
      <c r="CG69" s="5" t="str">
        <f ca="1">IF(AND($C69="Objetivo",CG$8&gt;=$F69,CG$8&lt;=$F69+$G69-1),2,IF(AND($C69="Hito",CG$8&gt;=$F69,CG$8&lt;=$F69+$G69-1),1,""))</f>
        <v/>
      </c>
      <c r="CH69" s="5" t="str">
        <f ca="1">IF(AND($C69="Objetivo",CH$8&gt;=$F69,CH$8&lt;=$F69+$G69-1),2,IF(AND($C69="Hito",CH$8&gt;=$F69,CH$8&lt;=$F69+$G69-1),1,""))</f>
        <v/>
      </c>
      <c r="CI69" s="5" t="str">
        <f ca="1">IF(AND($C69="Objetivo",CI$8&gt;=$F69,CI$8&lt;=$F69+$G69-1),2,IF(AND($C69="Hito",CI$8&gt;=$F69,CI$8&lt;=$F69+$G69-1),1,""))</f>
        <v/>
      </c>
      <c r="CJ69" s="5" t="str">
        <f ca="1">IF(AND($C69="Objetivo",CJ$8&gt;=$F69,CJ$8&lt;=$F69+$G69-1),2,IF(AND($C69="Hito",CJ$8&gt;=$F69,CJ$8&lt;=$F69+$G69-1),1,""))</f>
        <v/>
      </c>
      <c r="CK69" s="5" t="str">
        <f ca="1">IF(AND($C69="Objetivo",CK$8&gt;=$F69,CK$8&lt;=$F69+$G69-1),2,IF(AND($C69="Hito",CK$8&gt;=$F69,CK$8&lt;=$F69+$G69-1),1,""))</f>
        <v/>
      </c>
      <c r="CL69" s="5" t="str">
        <f ca="1">IF(AND($C69="Objetivo",CL$8&gt;=$F69,CL$8&lt;=$F69+$G69-1),2,IF(AND($C69="Hito",CL$8&gt;=$F69,CL$8&lt;=$F69+$G69-1),1,""))</f>
        <v/>
      </c>
      <c r="CM69" s="5" t="str">
        <f ca="1">IF(AND($C69="Objetivo",CM$8&gt;=$F69,CM$8&lt;=$F69+$G69-1),2,IF(AND($C69="Hito",CM$8&gt;=$F69,CM$8&lt;=$F69+$G69-1),1,""))</f>
        <v/>
      </c>
      <c r="CN69" s="5" t="str">
        <f ca="1">IF(AND($C69="Objetivo",CN$8&gt;=$F69,CN$8&lt;=$F69+$G69-1),2,IF(AND($C69="Hito",CN$8&gt;=$F69,CN$8&lt;=$F69+$G69-1),1,""))</f>
        <v/>
      </c>
      <c r="CO69" s="5" t="str">
        <f ca="1">IF(AND($C69="Objetivo",CO$8&gt;=$F69,CO$8&lt;=$F69+$G69-1),2,IF(AND($C69="Hito",CO$8&gt;=$F69,CO$8&lt;=$F69+$G69-1),1,""))</f>
        <v/>
      </c>
      <c r="CP69" s="5" t="str">
        <f ca="1">IF(AND($C69="Objetivo",CP$8&gt;=$F69,CP$8&lt;=$F69+$G69-1),2,IF(AND($C69="Hito",CP$8&gt;=$F69,CP$8&lt;=$F69+$G69-1),1,""))</f>
        <v/>
      </c>
      <c r="CQ69" s="5" t="str">
        <f ca="1">IF(AND($C69="Objetivo",CQ$8&gt;=$F69,CQ$8&lt;=$F69+$G69-1),2,IF(AND($C69="Hito",CQ$8&gt;=$F69,CQ$8&lt;=$F69+$G69-1),1,""))</f>
        <v/>
      </c>
      <c r="CR69" s="5" t="str">
        <f ca="1">IF(AND($C69="Objetivo",CR$8&gt;=$F69,CR$8&lt;=$F69+$G69-1),2,IF(AND($C69="Hito",CR$8&gt;=$F69,CR$8&lt;=$F69+$G69-1),1,""))</f>
        <v/>
      </c>
      <c r="CS69" s="5" t="str">
        <f ca="1">IF(AND($C69="Objetivo",CS$8&gt;=$F69,CS$8&lt;=$F69+$G69-1),2,IF(AND($C69="Hito",CS$8&gt;=$F69,CS$8&lt;=$F69+$G69-1),1,""))</f>
        <v/>
      </c>
      <c r="CT69" s="5" t="str">
        <f ca="1">IF(AND($C69="Objetivo",CT$8&gt;=$F69,CT$8&lt;=$F69+$G69-1),2,IF(AND($C69="Hito",CT$8&gt;=$F69,CT$8&lt;=$F69+$G69-1),1,""))</f>
        <v/>
      </c>
      <c r="CU69" s="5" t="str">
        <f ca="1">IF(AND($C69="Objetivo",CU$8&gt;=$F69,CU$8&lt;=$F69+$G69-1),2,IF(AND($C69="Hito",CU$8&gt;=$F69,CU$8&lt;=$F69+$G69-1),1,""))</f>
        <v/>
      </c>
      <c r="CV69" s="5" t="str">
        <f ca="1">IF(AND($C69="Objetivo",CV$8&gt;=$F69,CV$8&lt;=$F69+$G69-1),2,IF(AND($C69="Hito",CV$8&gt;=$F69,CV$8&lt;=$F69+$G69-1),1,""))</f>
        <v/>
      </c>
      <c r="CW69" s="5" t="str">
        <f ca="1">IF(AND($C69="Objetivo",CW$8&gt;=$F69,CW$8&lt;=$F69+$G69-1),2,IF(AND($C69="Hito",CW$8&gt;=$F69,CW$8&lt;=$F69+$G69-1),1,""))</f>
        <v/>
      </c>
      <c r="CX69" s="5" t="str">
        <f ca="1">IF(AND($C69="Objetivo",CX$8&gt;=$F69,CX$8&lt;=$F69+$G69-1),2,IF(AND($C69="Hito",CX$8&gt;=$F69,CX$8&lt;=$F69+$G69-1),1,""))</f>
        <v/>
      </c>
      <c r="CY69" s="5" t="str">
        <f ca="1">IF(AND($C69="Objetivo",CY$8&gt;=$F69,CY$8&lt;=$F69+$G69-1),2,IF(AND($C69="Hito",CY$8&gt;=$F69,CY$8&lt;=$F69+$G69-1),1,""))</f>
        <v/>
      </c>
      <c r="CZ69" s="5" t="str">
        <f ca="1">IF(AND($C69="Objetivo",CZ$8&gt;=$F69,CZ$8&lt;=$F69+$G69-1),2,IF(AND($C69="Hito",CZ$8&gt;=$F69,CZ$8&lt;=$F69+$G69-1),1,""))</f>
        <v/>
      </c>
      <c r="DA69" s="5" t="str">
        <f ca="1">IF(AND($C69="Objetivo",DA$8&gt;=$F69,DA$8&lt;=$F69+$G69-1),2,IF(AND($C69="Hito",DA$8&gt;=$F69,DA$8&lt;=$F69+$G69-1),1,""))</f>
        <v/>
      </c>
      <c r="DB69" s="5" t="str">
        <f ca="1">IF(AND($C69="Objetivo",DB$8&gt;=$F69,DB$8&lt;=$F69+$G69-1),2,IF(AND($C69="Hito",DB$8&gt;=$F69,DB$8&lt;=$F69+$G69-1),1,""))</f>
        <v/>
      </c>
    </row>
    <row r="70" spans="2:106" ht="15" x14ac:dyDescent="0.25">
      <c r="B70" s="41"/>
      <c r="C70" s="34"/>
      <c r="D70" s="34"/>
      <c r="E70" s="50"/>
      <c r="F70" s="40"/>
      <c r="G70" s="57"/>
      <c r="H70" s="29"/>
      <c r="I70" s="29"/>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c r="BM70" s="5"/>
      <c r="BN70" s="5"/>
      <c r="BO70" s="5"/>
      <c r="BP70" s="5"/>
      <c r="BQ70" s="5"/>
      <c r="BR70" s="5"/>
      <c r="BS70" s="5"/>
      <c r="BT70" s="5"/>
      <c r="BU70" s="5"/>
      <c r="BV70" s="5"/>
      <c r="BW70" s="5"/>
      <c r="BX70" s="5"/>
      <c r="BY70" s="5"/>
      <c r="BZ70" s="5"/>
      <c r="CA70" s="5"/>
      <c r="CB70" s="5"/>
      <c r="CC70" s="5"/>
      <c r="CD70" s="5"/>
      <c r="CE70" s="5"/>
      <c r="CF70" s="5"/>
      <c r="CG70" s="5"/>
      <c r="CH70" s="5"/>
      <c r="CI70" s="5"/>
      <c r="CJ70" s="5"/>
      <c r="CK70" s="5"/>
      <c r="CL70" s="5"/>
      <c r="CM70" s="5"/>
      <c r="CN70" s="5"/>
      <c r="CO70" s="5"/>
      <c r="CP70" s="5"/>
      <c r="CQ70" s="5"/>
      <c r="CR70" s="5"/>
      <c r="CS70" s="5"/>
      <c r="CT70" s="5"/>
      <c r="CU70" s="5"/>
      <c r="CV70" s="5"/>
      <c r="CW70" s="5"/>
      <c r="CX70" s="5"/>
      <c r="CY70" s="5"/>
      <c r="CZ70" s="5"/>
      <c r="DA70" s="5"/>
      <c r="DB70" s="5"/>
    </row>
    <row r="71" spans="2:106" ht="15" x14ac:dyDescent="0.25">
      <c r="B71" s="41"/>
      <c r="C71" s="34"/>
      <c r="D71" s="34"/>
      <c r="E71" s="50"/>
      <c r="F71" s="40"/>
      <c r="G71" s="57"/>
      <c r="H71" s="30"/>
      <c r="I71" s="29"/>
      <c r="K71" s="5" t="str">
        <f ca="1">IF(AND($C71="Objetivo",K$8&gt;=$F71,K$8&lt;=$F71+$G71-1),2,IF(AND($C71="Hito",K$8&gt;=$F71,K$8&lt;=$F71+$G71-1),1,""))</f>
        <v/>
      </c>
      <c r="L71" s="5" t="str">
        <f ca="1">IF(AND($C71="Objetivo",L$8&gt;=$F71,L$8&lt;=$F71+$G71-1),2,IF(AND($C71="Hito",L$8&gt;=$F71,L$8&lt;=$F71+$G71-1),1,""))</f>
        <v/>
      </c>
      <c r="M71" s="5" t="str">
        <f ca="1">IF(AND($C71="Objetivo",M$8&gt;=$F71,M$8&lt;=$F71+$G71-1),2,IF(AND($C71="Hito",M$8&gt;=$F71,M$8&lt;=$F71+$G71-1),1,""))</f>
        <v/>
      </c>
      <c r="N71" s="5" t="str">
        <f ca="1">IF(AND($C71="Objetivo",N$8&gt;=$F71,N$8&lt;=$F71+$G71-1),2,IF(AND($C71="Hito",N$8&gt;=$F71,N$8&lt;=$F71+$G71-1),1,""))</f>
        <v/>
      </c>
      <c r="O71" s="5" t="str">
        <f ca="1">IF(AND($C71="Objetivo",O$8&gt;=$F71,O$8&lt;=$F71+$G71-1),2,IF(AND($C71="Hito",O$8&gt;=$F71,O$8&lt;=$F71+$G71-1),1,""))</f>
        <v/>
      </c>
      <c r="P71" s="5" t="str">
        <f ca="1">IF(AND($C71="Objetivo",P$8&gt;=$F71,P$8&lt;=$F71+$G71-1),2,IF(AND($C71="Hito",P$8&gt;=$F71,P$8&lt;=$F71+$G71-1),1,""))</f>
        <v/>
      </c>
      <c r="Q71" s="5" t="str">
        <f ca="1">IF(AND($C71="Objetivo",Q$8&gt;=$F71,Q$8&lt;=$F71+$G71-1),2,IF(AND($C71="Hito",Q$8&gt;=$F71,Q$8&lt;=$F71+$G71-1),1,""))</f>
        <v/>
      </c>
      <c r="R71" s="5" t="str">
        <f ca="1">IF(AND($C71="Objetivo",R$8&gt;=$F71,R$8&lt;=$F71+$G71-1),2,IF(AND($C71="Hito",R$8&gt;=$F71,R$8&lt;=$F71+$G71-1),1,""))</f>
        <v/>
      </c>
      <c r="S71" s="5" t="str">
        <f ca="1">IF(AND($C71="Objetivo",S$8&gt;=$F71,S$8&lt;=$F71+$G71-1),2,IF(AND($C71="Hito",S$8&gt;=$F71,S$8&lt;=$F71+$G71-1),1,""))</f>
        <v/>
      </c>
      <c r="T71" s="5" t="str">
        <f ca="1">IF(AND($C71="Objetivo",T$8&gt;=$F71,T$8&lt;=$F71+$G71-1),2,IF(AND($C71="Hito",T$8&gt;=$F71,T$8&lt;=$F71+$G71-1),1,""))</f>
        <v/>
      </c>
      <c r="U71" s="5" t="str">
        <f ca="1">IF(AND($C71="Objetivo",U$8&gt;=$F71,U$8&lt;=$F71+$G71-1),2,IF(AND($C71="Hito",U$8&gt;=$F71,U$8&lt;=$F71+$G71-1),1,""))</f>
        <v/>
      </c>
      <c r="V71" s="5" t="str">
        <f ca="1">IF(AND($C71="Objetivo",V$8&gt;=$F71,V$8&lt;=$F71+$G71-1),2,IF(AND($C71="Hito",V$8&gt;=$F71,V$8&lt;=$F71+$G71-1),1,""))</f>
        <v/>
      </c>
      <c r="W71" s="5" t="str">
        <f ca="1">IF(AND($C71="Objetivo",W$8&gt;=$F71,W$8&lt;=$F71+$G71-1),2,IF(AND($C71="Hito",W$8&gt;=$F71,W$8&lt;=$F71+$G71-1),1,""))</f>
        <v/>
      </c>
      <c r="X71" s="5" t="str">
        <f ca="1">IF(AND($C71="Objetivo",X$8&gt;=$F71,X$8&lt;=$F71+$G71-1),2,IF(AND($C71="Hito",X$8&gt;=$F71,X$8&lt;=$F71+$G71-1),1,""))</f>
        <v/>
      </c>
      <c r="Y71" s="5" t="str">
        <f ca="1">IF(AND($C71="Objetivo",Y$8&gt;=$F71,Y$8&lt;=$F71+$G71-1),2,IF(AND($C71="Hito",Y$8&gt;=$F71,Y$8&lt;=$F71+$G71-1),1,""))</f>
        <v/>
      </c>
      <c r="Z71" s="5" t="str">
        <f ca="1">IF(AND($C71="Objetivo",Z$8&gt;=$F71,Z$8&lt;=$F71+$G71-1),2,IF(AND($C71="Hito",Z$8&gt;=$F71,Z$8&lt;=$F71+$G71-1),1,""))</f>
        <v/>
      </c>
      <c r="AA71" s="5" t="str">
        <f ca="1">IF(AND($C71="Objetivo",AA$8&gt;=$F71,AA$8&lt;=$F71+$G71-1),2,IF(AND($C71="Hito",AA$8&gt;=$F71,AA$8&lt;=$F71+$G71-1),1,""))</f>
        <v/>
      </c>
      <c r="AB71" s="5" t="str">
        <f ca="1">IF(AND($C71="Objetivo",AB$8&gt;=$F71,AB$8&lt;=$F71+$G71-1),2,IF(AND($C71="Hito",AB$8&gt;=$F71,AB$8&lt;=$F71+$G71-1),1,""))</f>
        <v/>
      </c>
      <c r="AC71" s="5" t="str">
        <f ca="1">IF(AND($C71="Objetivo",AC$8&gt;=$F71,AC$8&lt;=$F71+$G71-1),2,IF(AND($C71="Hito",AC$8&gt;=$F71,AC$8&lt;=$F71+$G71-1),1,""))</f>
        <v/>
      </c>
      <c r="AD71" s="5" t="str">
        <f ca="1">IF(AND($C71="Objetivo",AD$8&gt;=$F71,AD$8&lt;=$F71+$G71-1),2,IF(AND($C71="Hito",AD$8&gt;=$F71,AD$8&lt;=$F71+$G71-1),1,""))</f>
        <v/>
      </c>
      <c r="AE71" s="5" t="str">
        <f ca="1">IF(AND($C71="Objetivo",AE$8&gt;=$F71,AE$8&lt;=$F71+$G71-1),2,IF(AND($C71="Hito",AE$8&gt;=$F71,AE$8&lt;=$F71+$G71-1),1,""))</f>
        <v/>
      </c>
      <c r="AF71" s="5" t="str">
        <f ca="1">IF(AND($C71="Objetivo",AF$8&gt;=$F71,AF$8&lt;=$F71+$G71-1),2,IF(AND($C71="Hito",AF$8&gt;=$F71,AF$8&lt;=$F71+$G71-1),1,""))</f>
        <v/>
      </c>
      <c r="AG71" s="5" t="str">
        <f ca="1">IF(AND($C71="Objetivo",AG$8&gt;=$F71,AG$8&lt;=$F71+$G71-1),2,IF(AND($C71="Hito",AG$8&gt;=$F71,AG$8&lt;=$F71+$G71-1),1,""))</f>
        <v/>
      </c>
      <c r="AH71" s="5" t="str">
        <f ca="1">IF(AND($C71="Objetivo",AH$8&gt;=$F71,AH$8&lt;=$F71+$G71-1),2,IF(AND($C71="Hito",AH$8&gt;=$F71,AH$8&lt;=$F71+$G71-1),1,""))</f>
        <v/>
      </c>
      <c r="AI71" s="5" t="str">
        <f ca="1">IF(AND($C71="Objetivo",AI$8&gt;=$F71,AI$8&lt;=$F71+$G71-1),2,IF(AND($C71="Hito",AI$8&gt;=$F71,AI$8&lt;=$F71+$G71-1),1,""))</f>
        <v/>
      </c>
      <c r="AJ71" s="5" t="str">
        <f ca="1">IF(AND($C71="Objetivo",AJ$8&gt;=$F71,AJ$8&lt;=$F71+$G71-1),2,IF(AND($C71="Hito",AJ$8&gt;=$F71,AJ$8&lt;=$F71+$G71-1),1,""))</f>
        <v/>
      </c>
      <c r="AK71" s="5" t="str">
        <f ca="1">IF(AND($C71="Objetivo",AK$8&gt;=$F71,AK$8&lt;=$F71+$G71-1),2,IF(AND($C71="Hito",AK$8&gt;=$F71,AK$8&lt;=$F71+$G71-1),1,""))</f>
        <v/>
      </c>
      <c r="AL71" s="5" t="str">
        <f ca="1">IF(AND($C71="Objetivo",AL$8&gt;=$F71,AL$8&lt;=$F71+$G71-1),2,IF(AND($C71="Hito",AL$8&gt;=$F71,AL$8&lt;=$F71+$G71-1),1,""))</f>
        <v/>
      </c>
      <c r="AM71" s="5" t="str">
        <f ca="1">IF(AND($C71="Objetivo",AM$8&gt;=$F71,AM$8&lt;=$F71+$G71-1),2,IF(AND($C71="Hito",AM$8&gt;=$F71,AM$8&lt;=$F71+$G71-1),1,""))</f>
        <v/>
      </c>
      <c r="AN71" s="5" t="str">
        <f ca="1">IF(AND($C71="Objetivo",AN$8&gt;=$F71,AN$8&lt;=$F71+$G71-1),2,IF(AND($C71="Hito",AN$8&gt;=$F71,AN$8&lt;=$F71+$G71-1),1,""))</f>
        <v/>
      </c>
      <c r="AO71" s="5" t="str">
        <f ca="1">IF(AND($C71="Objetivo",AO$8&gt;=$F71,AO$8&lt;=$F71+$G71-1),2,IF(AND($C71="Hito",AO$8&gt;=$F71,AO$8&lt;=$F71+$G71-1),1,""))</f>
        <v/>
      </c>
      <c r="AP71" s="5" t="str">
        <f ca="1">IF(AND($C71="Objetivo",AP$8&gt;=$F71,AP$8&lt;=$F71+$G71-1),2,IF(AND($C71="Hito",AP$8&gt;=$F71,AP$8&lt;=$F71+$G71-1),1,""))</f>
        <v/>
      </c>
      <c r="AQ71" s="5" t="str">
        <f ca="1">IF(AND($C71="Objetivo",AQ$8&gt;=$F71,AQ$8&lt;=$F71+$G71-1),2,IF(AND($C71="Hito",AQ$8&gt;=$F71,AQ$8&lt;=$F71+$G71-1),1,""))</f>
        <v/>
      </c>
      <c r="AR71" s="5" t="str">
        <f ca="1">IF(AND($C71="Objetivo",AR$8&gt;=$F71,AR$8&lt;=$F71+$G71-1),2,IF(AND($C71="Hito",AR$8&gt;=$F71,AR$8&lt;=$F71+$G71-1),1,""))</f>
        <v/>
      </c>
      <c r="AS71" s="5" t="str">
        <f ca="1">IF(AND($C71="Objetivo",AS$8&gt;=$F71,AS$8&lt;=$F71+$G71-1),2,IF(AND($C71="Hito",AS$8&gt;=$F71,AS$8&lt;=$F71+$G71-1),1,""))</f>
        <v/>
      </c>
      <c r="AT71" s="5" t="str">
        <f ca="1">IF(AND($C71="Objetivo",AT$8&gt;=$F71,AT$8&lt;=$F71+$G71-1),2,IF(AND($C71="Hito",AT$8&gt;=$F71,AT$8&lt;=$F71+$G71-1),1,""))</f>
        <v/>
      </c>
      <c r="AU71" s="5" t="str">
        <f ca="1">IF(AND($C71="Objetivo",AU$8&gt;=$F71,AU$8&lt;=$F71+$G71-1),2,IF(AND($C71="Hito",AU$8&gt;=$F71,AU$8&lt;=$F71+$G71-1),1,""))</f>
        <v/>
      </c>
      <c r="AV71" s="5" t="str">
        <f ca="1">IF(AND($C71="Objetivo",AV$8&gt;=$F71,AV$8&lt;=$F71+$G71-1),2,IF(AND($C71="Hito",AV$8&gt;=$F71,AV$8&lt;=$F71+$G71-1),1,""))</f>
        <v/>
      </c>
      <c r="AW71" s="5" t="str">
        <f ca="1">IF(AND($C71="Objetivo",AW$8&gt;=$F71,AW$8&lt;=$F71+$G71-1),2,IF(AND($C71="Hito",AW$8&gt;=$F71,AW$8&lt;=$F71+$G71-1),1,""))</f>
        <v/>
      </c>
      <c r="AX71" s="5" t="str">
        <f ca="1">IF(AND($C71="Objetivo",AX$8&gt;=$F71,AX$8&lt;=$F71+$G71-1),2,IF(AND($C71="Hito",AX$8&gt;=$F71,AX$8&lt;=$F71+$G71-1),1,""))</f>
        <v/>
      </c>
      <c r="AY71" s="5" t="str">
        <f ca="1">IF(AND($C71="Objetivo",AY$8&gt;=$F71,AY$8&lt;=$F71+$G71-1),2,IF(AND($C71="Hito",AY$8&gt;=$F71,AY$8&lt;=$F71+$G71-1),1,""))</f>
        <v/>
      </c>
      <c r="AZ71" s="5" t="str">
        <f ca="1">IF(AND($C71="Objetivo",AZ$8&gt;=$F71,AZ$8&lt;=$F71+$G71-1),2,IF(AND($C71="Hito",AZ$8&gt;=$F71,AZ$8&lt;=$F71+$G71-1),1,""))</f>
        <v/>
      </c>
      <c r="BA71" s="5" t="str">
        <f ca="1">IF(AND($C71="Objetivo",BA$8&gt;=$F71,BA$8&lt;=$F71+$G71-1),2,IF(AND($C71="Hito",BA$8&gt;=$F71,BA$8&lt;=$F71+$G71-1),1,""))</f>
        <v/>
      </c>
      <c r="BB71" s="5" t="str">
        <f ca="1">IF(AND($C71="Objetivo",BB$8&gt;=$F71,BB$8&lt;=$F71+$G71-1),2,IF(AND($C71="Hito",BB$8&gt;=$F71,BB$8&lt;=$F71+$G71-1),1,""))</f>
        <v/>
      </c>
      <c r="BC71" s="5" t="str">
        <f ca="1">IF(AND($C71="Objetivo",BC$8&gt;=$F71,BC$8&lt;=$F71+$G71-1),2,IF(AND($C71="Hito",BC$8&gt;=$F71,BC$8&lt;=$F71+$G71-1),1,""))</f>
        <v/>
      </c>
      <c r="BD71" s="5" t="str">
        <f ca="1">IF(AND($C71="Objetivo",BD$8&gt;=$F71,BD$8&lt;=$F71+$G71-1),2,IF(AND($C71="Hito",BD$8&gt;=$F71,BD$8&lt;=$F71+$G71-1),1,""))</f>
        <v/>
      </c>
      <c r="BE71" s="5" t="str">
        <f ca="1">IF(AND($C71="Objetivo",BE$8&gt;=$F71,BE$8&lt;=$F71+$G71-1),2,IF(AND($C71="Hito",BE$8&gt;=$F71,BE$8&lt;=$F71+$G71-1),1,""))</f>
        <v/>
      </c>
      <c r="BF71" s="5" t="str">
        <f ca="1">IF(AND($C71="Objetivo",BF$8&gt;=$F71,BF$8&lt;=$F71+$G71-1),2,IF(AND($C71="Hito",BF$8&gt;=$F71,BF$8&lt;=$F71+$G71-1),1,""))</f>
        <v/>
      </c>
      <c r="BG71" s="5" t="str">
        <f ca="1">IF(AND($C71="Objetivo",BG$8&gt;=$F71,BG$8&lt;=$F71+$G71-1),2,IF(AND($C71="Hito",BG$8&gt;=$F71,BG$8&lt;=$F71+$G71-1),1,""))</f>
        <v/>
      </c>
      <c r="BH71" s="5" t="str">
        <f ca="1">IF(AND($C71="Objetivo",BH$8&gt;=$F71,BH$8&lt;=$F71+$G71-1),2,IF(AND($C71="Hito",BH$8&gt;=$F71,BH$8&lt;=$F71+$G71-1),1,""))</f>
        <v/>
      </c>
      <c r="BI71" s="5" t="str">
        <f ca="1">IF(AND($C71="Objetivo",BI$8&gt;=$F71,BI$8&lt;=$F71+$G71-1),2,IF(AND($C71="Hito",BI$8&gt;=$F71,BI$8&lt;=$F71+$G71-1),1,""))</f>
        <v/>
      </c>
      <c r="BJ71" s="5" t="str">
        <f ca="1">IF(AND($C71="Objetivo",BJ$8&gt;=$F71,BJ$8&lt;=$F71+$G71-1),2,IF(AND($C71="Hito",BJ$8&gt;=$F71,BJ$8&lt;=$F71+$G71-1),1,""))</f>
        <v/>
      </c>
      <c r="BK71" s="5" t="str">
        <f ca="1">IF(AND($C71="Objetivo",BK$8&gt;=$F71,BK$8&lt;=$F71+$G71-1),2,IF(AND($C71="Hito",BK$8&gt;=$F71,BK$8&lt;=$F71+$G71-1),1,""))</f>
        <v/>
      </c>
      <c r="BL71" s="5" t="str">
        <f ca="1">IF(AND($C71="Objetivo",BL$8&gt;=$F71,BL$8&lt;=$F71+$G71-1),2,IF(AND($C71="Hito",BL$8&gt;=$F71,BL$8&lt;=$F71+$G71-1),1,""))</f>
        <v/>
      </c>
      <c r="BM71" s="5" t="str">
        <f ca="1">IF(AND($C71="Objetivo",BM$8&gt;=$F71,BM$8&lt;=$F71+$G71-1),2,IF(AND($C71="Hito",BM$8&gt;=$F71,BM$8&lt;=$F71+$G71-1),1,""))</f>
        <v/>
      </c>
      <c r="BN71" s="5" t="str">
        <f ca="1">IF(AND($C71="Objetivo",BN$8&gt;=$F71,BN$8&lt;=$F71+$G71-1),2,IF(AND($C71="Hito",BN$8&gt;=$F71,BN$8&lt;=$F71+$G71-1),1,""))</f>
        <v/>
      </c>
      <c r="BO71" s="5" t="str">
        <f ca="1">IF(AND($C71="Objetivo",BO$8&gt;=$F71,BO$8&lt;=$F71+$G71-1),2,IF(AND($C71="Hito",BO$8&gt;=$F71,BO$8&lt;=$F71+$G71-1),1,""))</f>
        <v/>
      </c>
      <c r="BP71" s="5" t="str">
        <f ca="1">IF(AND($C71="Objetivo",BP$8&gt;=$F71,BP$8&lt;=$F71+$G71-1),2,IF(AND($C71="Hito",BP$8&gt;=$F71,BP$8&lt;=$F71+$G71-1),1,""))</f>
        <v/>
      </c>
      <c r="BQ71" s="5" t="str">
        <f ca="1">IF(AND($C71="Objetivo",BQ$8&gt;=$F71,BQ$8&lt;=$F71+$G71-1),2,IF(AND($C71="Hito",BQ$8&gt;=$F71,BQ$8&lt;=$F71+$G71-1),1,""))</f>
        <v/>
      </c>
      <c r="BR71" s="5" t="str">
        <f ca="1">IF(AND($C71="Objetivo",BR$8&gt;=$F71,BR$8&lt;=$F71+$G71-1),2,IF(AND($C71="Hito",BR$8&gt;=$F71,BR$8&lt;=$F71+$G71-1),1,""))</f>
        <v/>
      </c>
      <c r="BS71" s="5" t="str">
        <f ca="1">IF(AND($C71="Objetivo",BS$8&gt;=$F71,BS$8&lt;=$F71+$G71-1),2,IF(AND($C71="Hito",BS$8&gt;=$F71,BS$8&lt;=$F71+$G71-1),1,""))</f>
        <v/>
      </c>
      <c r="BT71" s="5" t="str">
        <f ca="1">IF(AND($C71="Objetivo",BT$8&gt;=$F71,BT$8&lt;=$F71+$G71-1),2,IF(AND($C71="Hito",BT$8&gt;=$F71,BT$8&lt;=$F71+$G71-1),1,""))</f>
        <v/>
      </c>
      <c r="BU71" s="5" t="str">
        <f ca="1">IF(AND($C71="Objetivo",BU$8&gt;=$F71,BU$8&lt;=$F71+$G71-1),2,IF(AND($C71="Hito",BU$8&gt;=$F71,BU$8&lt;=$F71+$G71-1),1,""))</f>
        <v/>
      </c>
      <c r="BV71" s="5" t="str">
        <f ca="1">IF(AND($C71="Objetivo",BV$8&gt;=$F71,BV$8&lt;=$F71+$G71-1),2,IF(AND($C71="Hito",BV$8&gt;=$F71,BV$8&lt;=$F71+$G71-1),1,""))</f>
        <v/>
      </c>
      <c r="BW71" s="5" t="str">
        <f ca="1">IF(AND($C71="Objetivo",BW$8&gt;=$F71,BW$8&lt;=$F71+$G71-1),2,IF(AND($C71="Hito",BW$8&gt;=$F71,BW$8&lt;=$F71+$G71-1),1,""))</f>
        <v/>
      </c>
      <c r="BX71" s="5" t="str">
        <f ca="1">IF(AND($C71="Objetivo",BX$8&gt;=$F71,BX$8&lt;=$F71+$G71-1),2,IF(AND($C71="Hito",BX$8&gt;=$F71,BX$8&lt;=$F71+$G71-1),1,""))</f>
        <v/>
      </c>
      <c r="BY71" s="5" t="str">
        <f ca="1">IF(AND($C71="Objetivo",BY$8&gt;=$F71,BY$8&lt;=$F71+$G71-1),2,IF(AND($C71="Hito",BY$8&gt;=$F71,BY$8&lt;=$F71+$G71-1),1,""))</f>
        <v/>
      </c>
      <c r="BZ71" s="5" t="str">
        <f ca="1">IF(AND($C71="Objetivo",BZ$8&gt;=$F71,BZ$8&lt;=$F71+$G71-1),2,IF(AND($C71="Hito",BZ$8&gt;=$F71,BZ$8&lt;=$F71+$G71-1),1,""))</f>
        <v/>
      </c>
      <c r="CA71" s="5" t="str">
        <f ca="1">IF(AND($C71="Objetivo",CA$8&gt;=$F71,CA$8&lt;=$F71+$G71-1),2,IF(AND($C71="Hito",CA$8&gt;=$F71,CA$8&lt;=$F71+$G71-1),1,""))</f>
        <v/>
      </c>
      <c r="CB71" s="5" t="str">
        <f ca="1">IF(AND($C71="Objetivo",CB$8&gt;=$F71,CB$8&lt;=$F71+$G71-1),2,IF(AND($C71="Hito",CB$8&gt;=$F71,CB$8&lt;=$F71+$G71-1),1,""))</f>
        <v/>
      </c>
      <c r="CC71" s="5" t="str">
        <f ca="1">IF(AND($C71="Objetivo",CC$8&gt;=$F71,CC$8&lt;=$F71+$G71-1),2,IF(AND($C71="Hito",CC$8&gt;=$F71,CC$8&lt;=$F71+$G71-1),1,""))</f>
        <v/>
      </c>
      <c r="CD71" s="5" t="str">
        <f ca="1">IF(AND($C71="Objetivo",CD$8&gt;=$F71,CD$8&lt;=$F71+$G71-1),2,IF(AND($C71="Hito",CD$8&gt;=$F71,CD$8&lt;=$F71+$G71-1),1,""))</f>
        <v/>
      </c>
      <c r="CE71" s="5" t="str">
        <f ca="1">IF(AND($C71="Objetivo",CE$8&gt;=$F71,CE$8&lt;=$F71+$G71-1),2,IF(AND($C71="Hito",CE$8&gt;=$F71,CE$8&lt;=$F71+$G71-1),1,""))</f>
        <v/>
      </c>
      <c r="CF71" s="5" t="str">
        <f ca="1">IF(AND($C71="Objetivo",CF$8&gt;=$F71,CF$8&lt;=$F71+$G71-1),2,IF(AND($C71="Hito",CF$8&gt;=$F71,CF$8&lt;=$F71+$G71-1),1,""))</f>
        <v/>
      </c>
      <c r="CG71" s="5" t="str">
        <f ca="1">IF(AND($C71="Objetivo",CG$8&gt;=$F71,CG$8&lt;=$F71+$G71-1),2,IF(AND($C71="Hito",CG$8&gt;=$F71,CG$8&lt;=$F71+$G71-1),1,""))</f>
        <v/>
      </c>
      <c r="CH71" s="5" t="str">
        <f ca="1">IF(AND($C71="Objetivo",CH$8&gt;=$F71,CH$8&lt;=$F71+$G71-1),2,IF(AND($C71="Hito",CH$8&gt;=$F71,CH$8&lt;=$F71+$G71-1),1,""))</f>
        <v/>
      </c>
      <c r="CI71" s="5" t="str">
        <f ca="1">IF(AND($C71="Objetivo",CI$8&gt;=$F71,CI$8&lt;=$F71+$G71-1),2,IF(AND($C71="Hito",CI$8&gt;=$F71,CI$8&lt;=$F71+$G71-1),1,""))</f>
        <v/>
      </c>
      <c r="CJ71" s="5" t="str">
        <f ca="1">IF(AND($C71="Objetivo",CJ$8&gt;=$F71,CJ$8&lt;=$F71+$G71-1),2,IF(AND($C71="Hito",CJ$8&gt;=$F71,CJ$8&lt;=$F71+$G71-1),1,""))</f>
        <v/>
      </c>
      <c r="CK71" s="5" t="str">
        <f ca="1">IF(AND($C71="Objetivo",CK$8&gt;=$F71,CK$8&lt;=$F71+$G71-1),2,IF(AND($C71="Hito",CK$8&gt;=$F71,CK$8&lt;=$F71+$G71-1),1,""))</f>
        <v/>
      </c>
      <c r="CL71" s="5" t="str">
        <f ca="1">IF(AND($C71="Objetivo",CL$8&gt;=$F71,CL$8&lt;=$F71+$G71-1),2,IF(AND($C71="Hito",CL$8&gt;=$F71,CL$8&lt;=$F71+$G71-1),1,""))</f>
        <v/>
      </c>
      <c r="CM71" s="5" t="str">
        <f ca="1">IF(AND($C71="Objetivo",CM$8&gt;=$F71,CM$8&lt;=$F71+$G71-1),2,IF(AND($C71="Hito",CM$8&gt;=$F71,CM$8&lt;=$F71+$G71-1),1,""))</f>
        <v/>
      </c>
      <c r="CN71" s="5" t="str">
        <f ca="1">IF(AND($C71="Objetivo",CN$8&gt;=$F71,CN$8&lt;=$F71+$G71-1),2,IF(AND($C71="Hito",CN$8&gt;=$F71,CN$8&lt;=$F71+$G71-1),1,""))</f>
        <v/>
      </c>
      <c r="CO71" s="5" t="str">
        <f ca="1">IF(AND($C71="Objetivo",CO$8&gt;=$F71,CO$8&lt;=$F71+$G71-1),2,IF(AND($C71="Hito",CO$8&gt;=$F71,CO$8&lt;=$F71+$G71-1),1,""))</f>
        <v/>
      </c>
      <c r="CP71" s="5" t="str">
        <f ca="1">IF(AND($C71="Objetivo",CP$8&gt;=$F71,CP$8&lt;=$F71+$G71-1),2,IF(AND($C71="Hito",CP$8&gt;=$F71,CP$8&lt;=$F71+$G71-1),1,""))</f>
        <v/>
      </c>
      <c r="CQ71" s="5" t="str">
        <f ca="1">IF(AND($C71="Objetivo",CQ$8&gt;=$F71,CQ$8&lt;=$F71+$G71-1),2,IF(AND($C71="Hito",CQ$8&gt;=$F71,CQ$8&lt;=$F71+$G71-1),1,""))</f>
        <v/>
      </c>
      <c r="CR71" s="5" t="str">
        <f ca="1">IF(AND($C71="Objetivo",CR$8&gt;=$F71,CR$8&lt;=$F71+$G71-1),2,IF(AND($C71="Hito",CR$8&gt;=$F71,CR$8&lt;=$F71+$G71-1),1,""))</f>
        <v/>
      </c>
      <c r="CS71" s="5" t="str">
        <f ca="1">IF(AND($C71="Objetivo",CS$8&gt;=$F71,CS$8&lt;=$F71+$G71-1),2,IF(AND($C71="Hito",CS$8&gt;=$F71,CS$8&lt;=$F71+$G71-1),1,""))</f>
        <v/>
      </c>
      <c r="CT71" s="5" t="str">
        <f ca="1">IF(AND($C71="Objetivo",CT$8&gt;=$F71,CT$8&lt;=$F71+$G71-1),2,IF(AND($C71="Hito",CT$8&gt;=$F71,CT$8&lt;=$F71+$G71-1),1,""))</f>
        <v/>
      </c>
      <c r="CU71" s="5" t="str">
        <f ca="1">IF(AND($C71="Objetivo",CU$8&gt;=$F71,CU$8&lt;=$F71+$G71-1),2,IF(AND($C71="Hito",CU$8&gt;=$F71,CU$8&lt;=$F71+$G71-1),1,""))</f>
        <v/>
      </c>
      <c r="CV71" s="5" t="str">
        <f ca="1">IF(AND($C71="Objetivo",CV$8&gt;=$F71,CV$8&lt;=$F71+$G71-1),2,IF(AND($C71="Hito",CV$8&gt;=$F71,CV$8&lt;=$F71+$G71-1),1,""))</f>
        <v/>
      </c>
      <c r="CW71" s="5" t="str">
        <f ca="1">IF(AND($C71="Objetivo",CW$8&gt;=$F71,CW$8&lt;=$F71+$G71-1),2,IF(AND($C71="Hito",CW$8&gt;=$F71,CW$8&lt;=$F71+$G71-1),1,""))</f>
        <v/>
      </c>
      <c r="CX71" s="5" t="str">
        <f ca="1">IF(AND($C71="Objetivo",CX$8&gt;=$F71,CX$8&lt;=$F71+$G71-1),2,IF(AND($C71="Hito",CX$8&gt;=$F71,CX$8&lt;=$F71+$G71-1),1,""))</f>
        <v/>
      </c>
      <c r="CY71" s="5" t="str">
        <f ca="1">IF(AND($C71="Objetivo",CY$8&gt;=$F71,CY$8&lt;=$F71+$G71-1),2,IF(AND($C71="Hito",CY$8&gt;=$F71,CY$8&lt;=$F71+$G71-1),1,""))</f>
        <v/>
      </c>
      <c r="CZ71" s="5" t="str">
        <f ca="1">IF(AND($C71="Objetivo",CZ$8&gt;=$F71,CZ$8&lt;=$F71+$G71-1),2,IF(AND($C71="Hito",CZ$8&gt;=$F71,CZ$8&lt;=$F71+$G71-1),1,""))</f>
        <v/>
      </c>
      <c r="DA71" s="5" t="str">
        <f ca="1">IF(AND($C71="Objetivo",DA$8&gt;=$F71,DA$8&lt;=$F71+$G71-1),2,IF(AND($C71="Hito",DA$8&gt;=$F71,DA$8&lt;=$F71+$G71-1),1,""))</f>
        <v/>
      </c>
      <c r="DB71" s="5" t="str">
        <f ca="1">IF(AND($C71="Objetivo",DB$8&gt;=$F71,DB$8&lt;=$F71+$G71-1),2,IF(AND($C71="Hito",DB$8&gt;=$F71,DB$8&lt;=$F71+$G71-1),1,""))</f>
        <v/>
      </c>
    </row>
    <row r="72" spans="2:106" ht="30" customHeight="1" x14ac:dyDescent="0.25">
      <c r="B72" s="41"/>
      <c r="C72" s="34"/>
      <c r="D72" s="34"/>
      <c r="E72" s="50"/>
      <c r="F72" s="40"/>
      <c r="G72" s="57"/>
      <c r="H72" s="30"/>
      <c r="I72" s="29"/>
      <c r="K72" s="5" t="str">
        <f ca="1">IF(AND($C72="Objetivo",K$8&gt;=$F72,K$8&lt;=$F72+$G72-1),2,IF(AND($C72="Hito",K$8&gt;=$F72,K$8&lt;=$F72+$G72-1),1,""))</f>
        <v/>
      </c>
      <c r="L72" s="5" t="str">
        <f ca="1">IF(AND($C72="Objetivo",L$8&gt;=$F72,L$8&lt;=$F72+$G72-1),2,IF(AND($C72="Hito",L$8&gt;=$F72,L$8&lt;=$F72+$G72-1),1,""))</f>
        <v/>
      </c>
      <c r="M72" s="5" t="str">
        <f ca="1">IF(AND($C72="Objetivo",M$8&gt;=$F72,M$8&lt;=$F72+$G72-1),2,IF(AND($C72="Hito",M$8&gt;=$F72,M$8&lt;=$F72+$G72-1),1,""))</f>
        <v/>
      </c>
      <c r="N72" s="5" t="str">
        <f ca="1">IF(AND($C72="Objetivo",N$8&gt;=$F72,N$8&lt;=$F72+$G72-1),2,IF(AND($C72="Hito",N$8&gt;=$F72,N$8&lt;=$F72+$G72-1),1,""))</f>
        <v/>
      </c>
      <c r="O72" s="5" t="str">
        <f ca="1">IF(AND($C72="Objetivo",O$8&gt;=$F72,O$8&lt;=$F72+$G72-1),2,IF(AND($C72="Hito",O$8&gt;=$F72,O$8&lt;=$F72+$G72-1),1,""))</f>
        <v/>
      </c>
      <c r="P72" s="5" t="str">
        <f ca="1">IF(AND($C72="Objetivo",P$8&gt;=$F72,P$8&lt;=$F72+$G72-1),2,IF(AND($C72="Hito",P$8&gt;=$F72,P$8&lt;=$F72+$G72-1),1,""))</f>
        <v/>
      </c>
      <c r="Q72" s="5" t="str">
        <f ca="1">IF(AND($C72="Objetivo",Q$8&gt;=$F72,Q$8&lt;=$F72+$G72-1),2,IF(AND($C72="Hito",Q$8&gt;=$F72,Q$8&lt;=$F72+$G72-1),1,""))</f>
        <v/>
      </c>
      <c r="R72" s="5" t="str">
        <f ca="1">IF(AND($C72="Objetivo",R$8&gt;=$F72,R$8&lt;=$F72+$G72-1),2,IF(AND($C72="Hito",R$8&gt;=$F72,R$8&lt;=$F72+$G72-1),1,""))</f>
        <v/>
      </c>
      <c r="S72" s="5" t="str">
        <f ca="1">IF(AND($C72="Objetivo",S$8&gt;=$F72,S$8&lt;=$F72+$G72-1),2,IF(AND($C72="Hito",S$8&gt;=$F72,S$8&lt;=$F72+$G72-1),1,""))</f>
        <v/>
      </c>
      <c r="T72" s="5" t="str">
        <f ca="1">IF(AND($C72="Objetivo",T$8&gt;=$F72,T$8&lt;=$F72+$G72-1),2,IF(AND($C72="Hito",T$8&gt;=$F72,T$8&lt;=$F72+$G72-1),1,""))</f>
        <v/>
      </c>
      <c r="U72" s="5" t="str">
        <f ca="1">IF(AND($C72="Objetivo",U$8&gt;=$F72,U$8&lt;=$F72+$G72-1),2,IF(AND($C72="Hito",U$8&gt;=$F72,U$8&lt;=$F72+$G72-1),1,""))</f>
        <v/>
      </c>
      <c r="V72" s="5" t="str">
        <f ca="1">IF(AND($C72="Objetivo",V$8&gt;=$F72,V$8&lt;=$F72+$G72-1),2,IF(AND($C72="Hito",V$8&gt;=$F72,V$8&lt;=$F72+$G72-1),1,""))</f>
        <v/>
      </c>
      <c r="W72" s="5" t="str">
        <f ca="1">IF(AND($C72="Objetivo",W$8&gt;=$F72,W$8&lt;=$F72+$G72-1),2,IF(AND($C72="Hito",W$8&gt;=$F72,W$8&lt;=$F72+$G72-1),1,""))</f>
        <v/>
      </c>
      <c r="X72" s="5" t="str">
        <f ca="1">IF(AND($C72="Objetivo",X$8&gt;=$F72,X$8&lt;=$F72+$G72-1),2,IF(AND($C72="Hito",X$8&gt;=$F72,X$8&lt;=$F72+$G72-1),1,""))</f>
        <v/>
      </c>
      <c r="Y72" s="5" t="str">
        <f ca="1">IF(AND($C72="Objetivo",Y$8&gt;=$F72,Y$8&lt;=$F72+$G72-1),2,IF(AND($C72="Hito",Y$8&gt;=$F72,Y$8&lt;=$F72+$G72-1),1,""))</f>
        <v/>
      </c>
      <c r="Z72" s="5" t="str">
        <f ca="1">IF(AND($C72="Objetivo",Z$8&gt;=$F72,Z$8&lt;=$F72+$G72-1),2,IF(AND($C72="Hito",Z$8&gt;=$F72,Z$8&lt;=$F72+$G72-1),1,""))</f>
        <v/>
      </c>
      <c r="AA72" s="5" t="str">
        <f ca="1">IF(AND($C72="Objetivo",AA$8&gt;=$F72,AA$8&lt;=$F72+$G72-1),2,IF(AND($C72="Hito",AA$8&gt;=$F72,AA$8&lt;=$F72+$G72-1),1,""))</f>
        <v/>
      </c>
      <c r="AB72" s="5" t="str">
        <f ca="1">IF(AND($C72="Objetivo",AB$8&gt;=$F72,AB$8&lt;=$F72+$G72-1),2,IF(AND($C72="Hito",AB$8&gt;=$F72,AB$8&lt;=$F72+$G72-1),1,""))</f>
        <v/>
      </c>
      <c r="AC72" s="5" t="str">
        <f ca="1">IF(AND($C72="Objetivo",AC$8&gt;=$F72,AC$8&lt;=$F72+$G72-1),2,IF(AND($C72="Hito",AC$8&gt;=$F72,AC$8&lt;=$F72+$G72-1),1,""))</f>
        <v/>
      </c>
      <c r="AD72" s="5" t="str">
        <f ca="1">IF(AND($C72="Objetivo",AD$8&gt;=$F72,AD$8&lt;=$F72+$G72-1),2,IF(AND($C72="Hito",AD$8&gt;=$F72,AD$8&lt;=$F72+$G72-1),1,""))</f>
        <v/>
      </c>
      <c r="AE72" s="5" t="str">
        <f ca="1">IF(AND($C72="Objetivo",AE$8&gt;=$F72,AE$8&lt;=$F72+$G72-1),2,IF(AND($C72="Hito",AE$8&gt;=$F72,AE$8&lt;=$F72+$G72-1),1,""))</f>
        <v/>
      </c>
      <c r="AF72" s="5" t="str">
        <f ca="1">IF(AND($C72="Objetivo",AF$8&gt;=$F72,AF$8&lt;=$F72+$G72-1),2,IF(AND($C72="Hito",AF$8&gt;=$F72,AF$8&lt;=$F72+$G72-1),1,""))</f>
        <v/>
      </c>
      <c r="AG72" s="5" t="str">
        <f ca="1">IF(AND($C72="Objetivo",AG$8&gt;=$F72,AG$8&lt;=$F72+$G72-1),2,IF(AND($C72="Hito",AG$8&gt;=$F72,AG$8&lt;=$F72+$G72-1),1,""))</f>
        <v/>
      </c>
      <c r="AH72" s="5" t="str">
        <f ca="1">IF(AND($C72="Objetivo",AH$8&gt;=$F72,AH$8&lt;=$F72+$G72-1),2,IF(AND($C72="Hito",AH$8&gt;=$F72,AH$8&lt;=$F72+$G72-1),1,""))</f>
        <v/>
      </c>
      <c r="AI72" s="5" t="str">
        <f ca="1">IF(AND($C72="Objetivo",AI$8&gt;=$F72,AI$8&lt;=$F72+$G72-1),2,IF(AND($C72="Hito",AI$8&gt;=$F72,AI$8&lt;=$F72+$G72-1),1,""))</f>
        <v/>
      </c>
      <c r="AJ72" s="5" t="str">
        <f ca="1">IF(AND($C72="Objetivo",AJ$8&gt;=$F72,AJ$8&lt;=$F72+$G72-1),2,IF(AND($C72="Hito",AJ$8&gt;=$F72,AJ$8&lt;=$F72+$G72-1),1,""))</f>
        <v/>
      </c>
      <c r="AK72" s="5" t="str">
        <f ca="1">IF(AND($C72="Objetivo",AK$8&gt;=$F72,AK$8&lt;=$F72+$G72-1),2,IF(AND($C72="Hito",AK$8&gt;=$F72,AK$8&lt;=$F72+$G72-1),1,""))</f>
        <v/>
      </c>
      <c r="AL72" s="5" t="str">
        <f ca="1">IF(AND($C72="Objetivo",AL$8&gt;=$F72,AL$8&lt;=$F72+$G72-1),2,IF(AND($C72="Hito",AL$8&gt;=$F72,AL$8&lt;=$F72+$G72-1),1,""))</f>
        <v/>
      </c>
      <c r="AM72" s="5" t="str">
        <f ca="1">IF(AND($C72="Objetivo",AM$8&gt;=$F72,AM$8&lt;=$F72+$G72-1),2,IF(AND($C72="Hito",AM$8&gt;=$F72,AM$8&lt;=$F72+$G72-1),1,""))</f>
        <v/>
      </c>
      <c r="AN72" s="5" t="str">
        <f ca="1">IF(AND($C72="Objetivo",AN$8&gt;=$F72,AN$8&lt;=$F72+$G72-1),2,IF(AND($C72="Hito",AN$8&gt;=$F72,AN$8&lt;=$F72+$G72-1),1,""))</f>
        <v/>
      </c>
      <c r="AO72" s="5" t="str">
        <f ca="1">IF(AND($C72="Objetivo",AO$8&gt;=$F72,AO$8&lt;=$F72+$G72-1),2,IF(AND($C72="Hito",AO$8&gt;=$F72,AO$8&lt;=$F72+$G72-1),1,""))</f>
        <v/>
      </c>
      <c r="AP72" s="5" t="str">
        <f ca="1">IF(AND($C72="Objetivo",AP$8&gt;=$F72,AP$8&lt;=$F72+$G72-1),2,IF(AND($C72="Hito",AP$8&gt;=$F72,AP$8&lt;=$F72+$G72-1),1,""))</f>
        <v/>
      </c>
      <c r="AQ72" s="5" t="str">
        <f ca="1">IF(AND($C72="Objetivo",AQ$8&gt;=$F72,AQ$8&lt;=$F72+$G72-1),2,IF(AND($C72="Hito",AQ$8&gt;=$F72,AQ$8&lt;=$F72+$G72-1),1,""))</f>
        <v/>
      </c>
      <c r="AR72" s="5" t="str">
        <f ca="1">IF(AND($C72="Objetivo",AR$8&gt;=$F72,AR$8&lt;=$F72+$G72-1),2,IF(AND($C72="Hito",AR$8&gt;=$F72,AR$8&lt;=$F72+$G72-1),1,""))</f>
        <v/>
      </c>
      <c r="AS72" s="5" t="str">
        <f ca="1">IF(AND($C72="Objetivo",AS$8&gt;=$F72,AS$8&lt;=$F72+$G72-1),2,IF(AND($C72="Hito",AS$8&gt;=$F72,AS$8&lt;=$F72+$G72-1),1,""))</f>
        <v/>
      </c>
      <c r="AT72" s="5" t="str">
        <f ca="1">IF(AND($C72="Objetivo",AT$8&gt;=$F72,AT$8&lt;=$F72+$G72-1),2,IF(AND($C72="Hito",AT$8&gt;=$F72,AT$8&lt;=$F72+$G72-1),1,""))</f>
        <v/>
      </c>
      <c r="AU72" s="5" t="str">
        <f ca="1">IF(AND($C72="Objetivo",AU$8&gt;=$F72,AU$8&lt;=$F72+$G72-1),2,IF(AND($C72="Hito",AU$8&gt;=$F72,AU$8&lt;=$F72+$G72-1),1,""))</f>
        <v/>
      </c>
      <c r="AV72" s="5" t="str">
        <f ca="1">IF(AND($C72="Objetivo",AV$8&gt;=$F72,AV$8&lt;=$F72+$G72-1),2,IF(AND($C72="Hito",AV$8&gt;=$F72,AV$8&lt;=$F72+$G72-1),1,""))</f>
        <v/>
      </c>
      <c r="AW72" s="5" t="str">
        <f ca="1">IF(AND($C72="Objetivo",AW$8&gt;=$F72,AW$8&lt;=$F72+$G72-1),2,IF(AND($C72="Hito",AW$8&gt;=$F72,AW$8&lt;=$F72+$G72-1),1,""))</f>
        <v/>
      </c>
      <c r="AX72" s="5" t="str">
        <f ca="1">IF(AND($C72="Objetivo",AX$8&gt;=$F72,AX$8&lt;=$F72+$G72-1),2,IF(AND($C72="Hito",AX$8&gt;=$F72,AX$8&lt;=$F72+$G72-1),1,""))</f>
        <v/>
      </c>
      <c r="AY72" s="5" t="str">
        <f ca="1">IF(AND($C72="Objetivo",AY$8&gt;=$F72,AY$8&lt;=$F72+$G72-1),2,IF(AND($C72="Hito",AY$8&gt;=$F72,AY$8&lt;=$F72+$G72-1),1,""))</f>
        <v/>
      </c>
      <c r="AZ72" s="5" t="str">
        <f ca="1">IF(AND($C72="Objetivo",AZ$8&gt;=$F72,AZ$8&lt;=$F72+$G72-1),2,IF(AND($C72="Hito",AZ$8&gt;=$F72,AZ$8&lt;=$F72+$G72-1),1,""))</f>
        <v/>
      </c>
      <c r="BA72" s="5" t="str">
        <f ca="1">IF(AND($C72="Objetivo",BA$8&gt;=$F72,BA$8&lt;=$F72+$G72-1),2,IF(AND($C72="Hito",BA$8&gt;=$F72,BA$8&lt;=$F72+$G72-1),1,""))</f>
        <v/>
      </c>
      <c r="BB72" s="5" t="str">
        <f ca="1">IF(AND($C72="Objetivo",BB$8&gt;=$F72,BB$8&lt;=$F72+$G72-1),2,IF(AND($C72="Hito",BB$8&gt;=$F72,BB$8&lt;=$F72+$G72-1),1,""))</f>
        <v/>
      </c>
      <c r="BC72" s="5" t="str">
        <f ca="1">IF(AND($C72="Objetivo",BC$8&gt;=$F72,BC$8&lt;=$F72+$G72-1),2,IF(AND($C72="Hito",BC$8&gt;=$F72,BC$8&lt;=$F72+$G72-1),1,""))</f>
        <v/>
      </c>
      <c r="BD72" s="5" t="str">
        <f ca="1">IF(AND($C72="Objetivo",BD$8&gt;=$F72,BD$8&lt;=$F72+$G72-1),2,IF(AND($C72="Hito",BD$8&gt;=$F72,BD$8&lt;=$F72+$G72-1),1,""))</f>
        <v/>
      </c>
      <c r="BE72" s="5" t="str">
        <f ca="1">IF(AND($C72="Objetivo",BE$8&gt;=$F72,BE$8&lt;=$F72+$G72-1),2,IF(AND($C72="Hito",BE$8&gt;=$F72,BE$8&lt;=$F72+$G72-1),1,""))</f>
        <v/>
      </c>
      <c r="BF72" s="5" t="str">
        <f ca="1">IF(AND($C72="Objetivo",BF$8&gt;=$F72,BF$8&lt;=$F72+$G72-1),2,IF(AND($C72="Hito",BF$8&gt;=$F72,BF$8&lt;=$F72+$G72-1),1,""))</f>
        <v/>
      </c>
      <c r="BG72" s="5" t="str">
        <f ca="1">IF(AND($C72="Objetivo",BG$8&gt;=$F72,BG$8&lt;=$F72+$G72-1),2,IF(AND($C72="Hito",BG$8&gt;=$F72,BG$8&lt;=$F72+$G72-1),1,""))</f>
        <v/>
      </c>
      <c r="BH72" s="5" t="str">
        <f ca="1">IF(AND($C72="Objetivo",BH$8&gt;=$F72,BH$8&lt;=$F72+$G72-1),2,IF(AND($C72="Hito",BH$8&gt;=$F72,BH$8&lt;=$F72+$G72-1),1,""))</f>
        <v/>
      </c>
      <c r="BI72" s="5" t="str">
        <f ca="1">IF(AND($C72="Objetivo",BI$8&gt;=$F72,BI$8&lt;=$F72+$G72-1),2,IF(AND($C72="Hito",BI$8&gt;=$F72,BI$8&lt;=$F72+$G72-1),1,""))</f>
        <v/>
      </c>
      <c r="BJ72" s="5" t="str">
        <f ca="1">IF(AND($C72="Objetivo",BJ$8&gt;=$F72,BJ$8&lt;=$F72+$G72-1),2,IF(AND($C72="Hito",BJ$8&gt;=$F72,BJ$8&lt;=$F72+$G72-1),1,""))</f>
        <v/>
      </c>
      <c r="BK72" s="5" t="str">
        <f ca="1">IF(AND($C72="Objetivo",BK$8&gt;=$F72,BK$8&lt;=$F72+$G72-1),2,IF(AND($C72="Hito",BK$8&gt;=$F72,BK$8&lt;=$F72+$G72-1),1,""))</f>
        <v/>
      </c>
      <c r="BL72" s="5" t="str">
        <f ca="1">IF(AND($C72="Objetivo",BL$8&gt;=$F72,BL$8&lt;=$F72+$G72-1),2,IF(AND($C72="Hito",BL$8&gt;=$F72,BL$8&lt;=$F72+$G72-1),1,""))</f>
        <v/>
      </c>
      <c r="BM72" s="5" t="str">
        <f ca="1">IF(AND($C72="Objetivo",BM$8&gt;=$F72,BM$8&lt;=$F72+$G72-1),2,IF(AND($C72="Hito",BM$8&gt;=$F72,BM$8&lt;=$F72+$G72-1),1,""))</f>
        <v/>
      </c>
      <c r="BN72" s="5" t="str">
        <f ca="1">IF(AND($C72="Objetivo",BN$8&gt;=$F72,BN$8&lt;=$F72+$G72-1),2,IF(AND($C72="Hito",BN$8&gt;=$F72,BN$8&lt;=$F72+$G72-1),1,""))</f>
        <v/>
      </c>
      <c r="BO72" s="5" t="str">
        <f ca="1">IF(AND($C72="Objetivo",BO$8&gt;=$F72,BO$8&lt;=$F72+$G72-1),2,IF(AND($C72="Hito",BO$8&gt;=$F72,BO$8&lt;=$F72+$G72-1),1,""))</f>
        <v/>
      </c>
      <c r="BP72" s="5" t="str">
        <f ca="1">IF(AND($C72="Objetivo",BP$8&gt;=$F72,BP$8&lt;=$F72+$G72-1),2,IF(AND($C72="Hito",BP$8&gt;=$F72,BP$8&lt;=$F72+$G72-1),1,""))</f>
        <v/>
      </c>
      <c r="BQ72" s="5" t="str">
        <f ca="1">IF(AND($C72="Objetivo",BQ$8&gt;=$F72,BQ$8&lt;=$F72+$G72-1),2,IF(AND($C72="Hito",BQ$8&gt;=$F72,BQ$8&lt;=$F72+$G72-1),1,""))</f>
        <v/>
      </c>
      <c r="BR72" s="5" t="str">
        <f ca="1">IF(AND($C72="Objetivo",BR$8&gt;=$F72,BR$8&lt;=$F72+$G72-1),2,IF(AND($C72="Hito",BR$8&gt;=$F72,BR$8&lt;=$F72+$G72-1),1,""))</f>
        <v/>
      </c>
      <c r="BS72" s="5" t="str">
        <f ca="1">IF(AND($C72="Objetivo",BS$8&gt;=$F72,BS$8&lt;=$F72+$G72-1),2,IF(AND($C72="Hito",BS$8&gt;=$F72,BS$8&lt;=$F72+$G72-1),1,""))</f>
        <v/>
      </c>
      <c r="BT72" s="5" t="str">
        <f ca="1">IF(AND($C72="Objetivo",BT$8&gt;=$F72,BT$8&lt;=$F72+$G72-1),2,IF(AND($C72="Hito",BT$8&gt;=$F72,BT$8&lt;=$F72+$G72-1),1,""))</f>
        <v/>
      </c>
      <c r="BU72" s="5" t="str">
        <f ca="1">IF(AND($C72="Objetivo",BU$8&gt;=$F72,BU$8&lt;=$F72+$G72-1),2,IF(AND($C72="Hito",BU$8&gt;=$F72,BU$8&lt;=$F72+$G72-1),1,""))</f>
        <v/>
      </c>
      <c r="BV72" s="5" t="str">
        <f ca="1">IF(AND($C72="Objetivo",BV$8&gt;=$F72,BV$8&lt;=$F72+$G72-1),2,IF(AND($C72="Hito",BV$8&gt;=$F72,BV$8&lt;=$F72+$G72-1),1,""))</f>
        <v/>
      </c>
      <c r="BW72" s="5" t="str">
        <f ca="1">IF(AND($C72="Objetivo",BW$8&gt;=$F72,BW$8&lt;=$F72+$G72-1),2,IF(AND($C72="Hito",BW$8&gt;=$F72,BW$8&lt;=$F72+$G72-1),1,""))</f>
        <v/>
      </c>
      <c r="BX72" s="5" t="str">
        <f ca="1">IF(AND($C72="Objetivo",BX$8&gt;=$F72,BX$8&lt;=$F72+$G72-1),2,IF(AND($C72="Hito",BX$8&gt;=$F72,BX$8&lt;=$F72+$G72-1),1,""))</f>
        <v/>
      </c>
      <c r="BY72" s="5" t="str">
        <f ca="1">IF(AND($C72="Objetivo",BY$8&gt;=$F72,BY$8&lt;=$F72+$G72-1),2,IF(AND($C72="Hito",BY$8&gt;=$F72,BY$8&lt;=$F72+$G72-1),1,""))</f>
        <v/>
      </c>
      <c r="BZ72" s="5" t="str">
        <f ca="1">IF(AND($C72="Objetivo",BZ$8&gt;=$F72,BZ$8&lt;=$F72+$G72-1),2,IF(AND($C72="Hito",BZ$8&gt;=$F72,BZ$8&lt;=$F72+$G72-1),1,""))</f>
        <v/>
      </c>
      <c r="CA72" s="5" t="str">
        <f ca="1">IF(AND($C72="Objetivo",CA$8&gt;=$F72,CA$8&lt;=$F72+$G72-1),2,IF(AND($C72="Hito",CA$8&gt;=$F72,CA$8&lt;=$F72+$G72-1),1,""))</f>
        <v/>
      </c>
      <c r="CB72" s="5" t="str">
        <f ca="1">IF(AND($C72="Objetivo",CB$8&gt;=$F72,CB$8&lt;=$F72+$G72-1),2,IF(AND($C72="Hito",CB$8&gt;=$F72,CB$8&lt;=$F72+$G72-1),1,""))</f>
        <v/>
      </c>
      <c r="CC72" s="5" t="str">
        <f ca="1">IF(AND($C72="Objetivo",CC$8&gt;=$F72,CC$8&lt;=$F72+$G72-1),2,IF(AND($C72="Hito",CC$8&gt;=$F72,CC$8&lt;=$F72+$G72-1),1,""))</f>
        <v/>
      </c>
      <c r="CD72" s="5" t="str">
        <f ca="1">IF(AND($C72="Objetivo",CD$8&gt;=$F72,CD$8&lt;=$F72+$G72-1),2,IF(AND($C72="Hito",CD$8&gt;=$F72,CD$8&lt;=$F72+$G72-1),1,""))</f>
        <v/>
      </c>
      <c r="CE72" s="5" t="str">
        <f ca="1">IF(AND($C72="Objetivo",CE$8&gt;=$F72,CE$8&lt;=$F72+$G72-1),2,IF(AND($C72="Hito",CE$8&gt;=$F72,CE$8&lt;=$F72+$G72-1),1,""))</f>
        <v/>
      </c>
      <c r="CF72" s="5" t="str">
        <f ca="1">IF(AND($C72="Objetivo",CF$8&gt;=$F72,CF$8&lt;=$F72+$G72-1),2,IF(AND($C72="Hito",CF$8&gt;=$F72,CF$8&lt;=$F72+$G72-1),1,""))</f>
        <v/>
      </c>
      <c r="CG72" s="5" t="str">
        <f ca="1">IF(AND($C72="Objetivo",CG$8&gt;=$F72,CG$8&lt;=$F72+$G72-1),2,IF(AND($C72="Hito",CG$8&gt;=$F72,CG$8&lt;=$F72+$G72-1),1,""))</f>
        <v/>
      </c>
      <c r="CH72" s="5" t="str">
        <f ca="1">IF(AND($C72="Objetivo",CH$8&gt;=$F72,CH$8&lt;=$F72+$G72-1),2,IF(AND($C72="Hito",CH$8&gt;=$F72,CH$8&lt;=$F72+$G72-1),1,""))</f>
        <v/>
      </c>
      <c r="CI72" s="5" t="str">
        <f ca="1">IF(AND($C72="Objetivo",CI$8&gt;=$F72,CI$8&lt;=$F72+$G72-1),2,IF(AND($C72="Hito",CI$8&gt;=$F72,CI$8&lt;=$F72+$G72-1),1,""))</f>
        <v/>
      </c>
      <c r="CJ72" s="5" t="str">
        <f ca="1">IF(AND($C72="Objetivo",CJ$8&gt;=$F72,CJ$8&lt;=$F72+$G72-1),2,IF(AND($C72="Hito",CJ$8&gt;=$F72,CJ$8&lt;=$F72+$G72-1),1,""))</f>
        <v/>
      </c>
      <c r="CK72" s="5" t="str">
        <f ca="1">IF(AND($C72="Objetivo",CK$8&gt;=$F72,CK$8&lt;=$F72+$G72-1),2,IF(AND($C72="Hito",CK$8&gt;=$F72,CK$8&lt;=$F72+$G72-1),1,""))</f>
        <v/>
      </c>
      <c r="CL72" s="5" t="str">
        <f ca="1">IF(AND($C72="Objetivo",CL$8&gt;=$F72,CL$8&lt;=$F72+$G72-1),2,IF(AND($C72="Hito",CL$8&gt;=$F72,CL$8&lt;=$F72+$G72-1),1,""))</f>
        <v/>
      </c>
      <c r="CM72" s="5" t="str">
        <f ca="1">IF(AND($C72="Objetivo",CM$8&gt;=$F72,CM$8&lt;=$F72+$G72-1),2,IF(AND($C72="Hito",CM$8&gt;=$F72,CM$8&lt;=$F72+$G72-1),1,""))</f>
        <v/>
      </c>
      <c r="CN72" s="5" t="str">
        <f ca="1">IF(AND($C72="Objetivo",CN$8&gt;=$F72,CN$8&lt;=$F72+$G72-1),2,IF(AND($C72="Hito",CN$8&gt;=$F72,CN$8&lt;=$F72+$G72-1),1,""))</f>
        <v/>
      </c>
      <c r="CO72" s="5" t="str">
        <f ca="1">IF(AND($C72="Objetivo",CO$8&gt;=$F72,CO$8&lt;=$F72+$G72-1),2,IF(AND($C72="Hito",CO$8&gt;=$F72,CO$8&lt;=$F72+$G72-1),1,""))</f>
        <v/>
      </c>
      <c r="CP72" s="5" t="str">
        <f ca="1">IF(AND($C72="Objetivo",CP$8&gt;=$F72,CP$8&lt;=$F72+$G72-1),2,IF(AND($C72="Hito",CP$8&gt;=$F72,CP$8&lt;=$F72+$G72-1),1,""))</f>
        <v/>
      </c>
      <c r="CQ72" s="5" t="str">
        <f ca="1">IF(AND($C72="Objetivo",CQ$8&gt;=$F72,CQ$8&lt;=$F72+$G72-1),2,IF(AND($C72="Hito",CQ$8&gt;=$F72,CQ$8&lt;=$F72+$G72-1),1,""))</f>
        <v/>
      </c>
      <c r="CR72" s="5" t="str">
        <f ca="1">IF(AND($C72="Objetivo",CR$8&gt;=$F72,CR$8&lt;=$F72+$G72-1),2,IF(AND($C72="Hito",CR$8&gt;=$F72,CR$8&lt;=$F72+$G72-1),1,""))</f>
        <v/>
      </c>
      <c r="CS72" s="5" t="str">
        <f ca="1">IF(AND($C72="Objetivo",CS$8&gt;=$F72,CS$8&lt;=$F72+$G72-1),2,IF(AND($C72="Hito",CS$8&gt;=$F72,CS$8&lt;=$F72+$G72-1),1,""))</f>
        <v/>
      </c>
      <c r="CT72" s="5" t="str">
        <f ca="1">IF(AND($C72="Objetivo",CT$8&gt;=$F72,CT$8&lt;=$F72+$G72-1),2,IF(AND($C72="Hito",CT$8&gt;=$F72,CT$8&lt;=$F72+$G72-1),1,""))</f>
        <v/>
      </c>
      <c r="CU72" s="5" t="str">
        <f ca="1">IF(AND($C72="Objetivo",CU$8&gt;=$F72,CU$8&lt;=$F72+$G72-1),2,IF(AND($C72="Hito",CU$8&gt;=$F72,CU$8&lt;=$F72+$G72-1),1,""))</f>
        <v/>
      </c>
      <c r="CV72" s="5" t="str">
        <f ca="1">IF(AND($C72="Objetivo",CV$8&gt;=$F72,CV$8&lt;=$F72+$G72-1),2,IF(AND($C72="Hito",CV$8&gt;=$F72,CV$8&lt;=$F72+$G72-1),1,""))</f>
        <v/>
      </c>
      <c r="CW72" s="5" t="str">
        <f ca="1">IF(AND($C72="Objetivo",CW$8&gt;=$F72,CW$8&lt;=$F72+$G72-1),2,IF(AND($C72="Hito",CW$8&gt;=$F72,CW$8&lt;=$F72+$G72-1),1,""))</f>
        <v/>
      </c>
      <c r="CX72" s="5" t="str">
        <f ca="1">IF(AND($C72="Objetivo",CX$8&gt;=$F72,CX$8&lt;=$F72+$G72-1),2,IF(AND($C72="Hito",CX$8&gt;=$F72,CX$8&lt;=$F72+$G72-1),1,""))</f>
        <v/>
      </c>
      <c r="CY72" s="5" t="str">
        <f ca="1">IF(AND($C72="Objetivo",CY$8&gt;=$F72,CY$8&lt;=$F72+$G72-1),2,IF(AND($C72="Hito",CY$8&gt;=$F72,CY$8&lt;=$F72+$G72-1),1,""))</f>
        <v/>
      </c>
      <c r="CZ72" s="5" t="str">
        <f ca="1">IF(AND($C72="Objetivo",CZ$8&gt;=$F72,CZ$8&lt;=$F72+$G72-1),2,IF(AND($C72="Hito",CZ$8&gt;=$F72,CZ$8&lt;=$F72+$G72-1),1,""))</f>
        <v/>
      </c>
      <c r="DA72" s="5" t="str">
        <f ca="1">IF(AND($C72="Objetivo",DA$8&gt;=$F72,DA$8&lt;=$F72+$G72-1),2,IF(AND($C72="Hito",DA$8&gt;=$F72,DA$8&lt;=$F72+$G72-1),1,""))</f>
        <v/>
      </c>
      <c r="DB72" s="5" t="str">
        <f ca="1">IF(AND($C72="Objetivo",DB$8&gt;=$F72,DB$8&lt;=$F72+$G72-1),2,IF(AND($C72="Hito",DB$8&gt;=$F72,DB$8&lt;=$F72+$G72-1),1,""))</f>
        <v/>
      </c>
    </row>
    <row r="73" spans="2:106" ht="30" customHeight="1" x14ac:dyDescent="0.25">
      <c r="B73" s="41"/>
      <c r="C73" s="34"/>
      <c r="D73" s="34"/>
      <c r="E73" s="50"/>
      <c r="F73" s="40"/>
      <c r="G73" s="57"/>
      <c r="H73" s="30"/>
      <c r="I73" s="29"/>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row>
    <row r="74" spans="2:106" ht="30" customHeight="1" x14ac:dyDescent="0.25">
      <c r="B74" s="41"/>
      <c r="C74" s="34"/>
      <c r="D74" s="34"/>
      <c r="E74" s="50"/>
      <c r="F74" s="40"/>
      <c r="G74" s="57"/>
      <c r="H74" s="29"/>
      <c r="I74" s="29"/>
      <c r="K74" s="5" t="str">
        <f ca="1">IF(AND($C74="Objetivo",K$8&gt;=$F74,K$8&lt;=$F74+$G74-1),2,IF(AND($C74="Hito",K$8&gt;=$F74,K$8&lt;=$F74+$G74-1),1,""))</f>
        <v/>
      </c>
      <c r="L74" s="5" t="str">
        <f ca="1">IF(AND($C74="Objetivo",L$8&gt;=$F74,L$8&lt;=$F74+$G74-1),2,IF(AND($C74="Hito",L$8&gt;=$F74,L$8&lt;=$F74+$G74-1),1,""))</f>
        <v/>
      </c>
      <c r="M74" s="5" t="str">
        <f ca="1">IF(AND($C74="Objetivo",M$8&gt;=$F74,M$8&lt;=$F74+$G74-1),2,IF(AND($C74="Hito",M$8&gt;=$F74,M$8&lt;=$F74+$G74-1),1,""))</f>
        <v/>
      </c>
      <c r="N74" s="5" t="str">
        <f ca="1">IF(AND($C74="Objetivo",N$8&gt;=$F74,N$8&lt;=$F74+$G74-1),2,IF(AND($C74="Hito",N$8&gt;=$F74,N$8&lt;=$F74+$G74-1),1,""))</f>
        <v/>
      </c>
      <c r="O74" s="5" t="str">
        <f ca="1">IF(AND($C74="Objetivo",O$8&gt;=$F74,O$8&lt;=$F74+$G74-1),2,IF(AND($C74="Hito",O$8&gt;=$F74,O$8&lt;=$F74+$G74-1),1,""))</f>
        <v/>
      </c>
      <c r="P74" s="5" t="str">
        <f ca="1">IF(AND($C74="Objetivo",P$8&gt;=$F74,P$8&lt;=$F74+$G74-1),2,IF(AND($C74="Hito",P$8&gt;=$F74,P$8&lt;=$F74+$G74-1),1,""))</f>
        <v/>
      </c>
      <c r="Q74" s="5" t="str">
        <f ca="1">IF(AND($C74="Objetivo",Q$8&gt;=$F74,Q$8&lt;=$F74+$G74-1),2,IF(AND($C74="Hito",Q$8&gt;=$F74,Q$8&lt;=$F74+$G74-1),1,""))</f>
        <v/>
      </c>
      <c r="R74" s="5" t="str">
        <f ca="1">IF(AND($C74="Objetivo",R$8&gt;=$F74,R$8&lt;=$F74+$G74-1),2,IF(AND($C74="Hito",R$8&gt;=$F74,R$8&lt;=$F74+$G74-1),1,""))</f>
        <v/>
      </c>
      <c r="S74" s="5" t="str">
        <f ca="1">IF(AND($C74="Objetivo",S$8&gt;=$F74,S$8&lt;=$F74+$G74-1),2,IF(AND($C74="Hito",S$8&gt;=$F74,S$8&lt;=$F74+$G74-1),1,""))</f>
        <v/>
      </c>
      <c r="T74" s="5" t="str">
        <f ca="1">IF(AND($C74="Objetivo",T$8&gt;=$F74,T$8&lt;=$F74+$G74-1),2,IF(AND($C74="Hito",T$8&gt;=$F74,T$8&lt;=$F74+$G74-1),1,""))</f>
        <v/>
      </c>
      <c r="U74" s="5" t="str">
        <f ca="1">IF(AND($C74="Objetivo",U$8&gt;=$F74,U$8&lt;=$F74+$G74-1),2,IF(AND($C74="Hito",U$8&gt;=$F74,U$8&lt;=$F74+$G74-1),1,""))</f>
        <v/>
      </c>
      <c r="V74" s="5" t="str">
        <f ca="1">IF(AND($C74="Objetivo",V$8&gt;=$F74,V$8&lt;=$F74+$G74-1),2,IF(AND($C74="Hito",V$8&gt;=$F74,V$8&lt;=$F74+$G74-1),1,""))</f>
        <v/>
      </c>
      <c r="W74" s="5" t="str">
        <f ca="1">IF(AND($C74="Objetivo",W$8&gt;=$F74,W$8&lt;=$F74+$G74-1),2,IF(AND($C74="Hito",W$8&gt;=$F74,W$8&lt;=$F74+$G74-1),1,""))</f>
        <v/>
      </c>
      <c r="X74" s="5" t="str">
        <f ca="1">IF(AND($C74="Objetivo",X$8&gt;=$F74,X$8&lt;=$F74+$G74-1),2,IF(AND($C74="Hito",X$8&gt;=$F74,X$8&lt;=$F74+$G74-1),1,""))</f>
        <v/>
      </c>
      <c r="Y74" s="5" t="str">
        <f ca="1">IF(AND($C74="Objetivo",Y$8&gt;=$F74,Y$8&lt;=$F74+$G74-1),2,IF(AND($C74="Hito",Y$8&gt;=$F74,Y$8&lt;=$F74+$G74-1),1,""))</f>
        <v/>
      </c>
      <c r="Z74" s="5" t="str">
        <f ca="1">IF(AND($C74="Objetivo",Z$8&gt;=$F74,Z$8&lt;=$F74+$G74-1),2,IF(AND($C74="Hito",Z$8&gt;=$F74,Z$8&lt;=$F74+$G74-1),1,""))</f>
        <v/>
      </c>
      <c r="AA74" s="5" t="str">
        <f ca="1">IF(AND($C74="Objetivo",AA$8&gt;=$F74,AA$8&lt;=$F74+$G74-1),2,IF(AND($C74="Hito",AA$8&gt;=$F74,AA$8&lt;=$F74+$G74-1),1,""))</f>
        <v/>
      </c>
      <c r="AB74" s="5" t="str">
        <f ca="1">IF(AND($C74="Objetivo",AB$8&gt;=$F74,AB$8&lt;=$F74+$G74-1),2,IF(AND($C74="Hito",AB$8&gt;=$F74,AB$8&lt;=$F74+$G74-1),1,""))</f>
        <v/>
      </c>
      <c r="AC74" s="5" t="str">
        <f ca="1">IF(AND($C74="Objetivo",AC$8&gt;=$F74,AC$8&lt;=$F74+$G74-1),2,IF(AND($C74="Hito",AC$8&gt;=$F74,AC$8&lt;=$F74+$G74-1),1,""))</f>
        <v/>
      </c>
      <c r="AD74" s="5" t="str">
        <f ca="1">IF(AND($C74="Objetivo",AD$8&gt;=$F74,AD$8&lt;=$F74+$G74-1),2,IF(AND($C74="Hito",AD$8&gt;=$F74,AD$8&lt;=$F74+$G74-1),1,""))</f>
        <v/>
      </c>
      <c r="AE74" s="5" t="str">
        <f ca="1">IF(AND($C74="Objetivo",AE$8&gt;=$F74,AE$8&lt;=$F74+$G74-1),2,IF(AND($C74="Hito",AE$8&gt;=$F74,AE$8&lt;=$F74+$G74-1),1,""))</f>
        <v/>
      </c>
      <c r="AF74" s="5" t="str">
        <f ca="1">IF(AND($C74="Objetivo",AF$8&gt;=$F74,AF$8&lt;=$F74+$G74-1),2,IF(AND($C74="Hito",AF$8&gt;=$F74,AF$8&lt;=$F74+$G74-1),1,""))</f>
        <v/>
      </c>
      <c r="AG74" s="5" t="str">
        <f ca="1">IF(AND($C74="Objetivo",AG$8&gt;=$F74,AG$8&lt;=$F74+$G74-1),2,IF(AND($C74="Hito",AG$8&gt;=$F74,AG$8&lt;=$F74+$G74-1),1,""))</f>
        <v/>
      </c>
      <c r="AH74" s="5" t="str">
        <f ca="1">IF(AND($C74="Objetivo",AH$8&gt;=$F74,AH$8&lt;=$F74+$G74-1),2,IF(AND($C74="Hito",AH$8&gt;=$F74,AH$8&lt;=$F74+$G74-1),1,""))</f>
        <v/>
      </c>
      <c r="AI74" s="5" t="str">
        <f ca="1">IF(AND($C74="Objetivo",AI$8&gt;=$F74,AI$8&lt;=$F74+$G74-1),2,IF(AND($C74="Hito",AI$8&gt;=$F74,AI$8&lt;=$F74+$G74-1),1,""))</f>
        <v/>
      </c>
      <c r="AJ74" s="5" t="str">
        <f ca="1">IF(AND($C74="Objetivo",AJ$8&gt;=$F74,AJ$8&lt;=$F74+$G74-1),2,IF(AND($C74="Hito",AJ$8&gt;=$F74,AJ$8&lt;=$F74+$G74-1),1,""))</f>
        <v/>
      </c>
      <c r="AK74" s="5" t="str">
        <f ca="1">IF(AND($C74="Objetivo",AK$8&gt;=$F74,AK$8&lt;=$F74+$G74-1),2,IF(AND($C74="Hito",AK$8&gt;=$F74,AK$8&lt;=$F74+$G74-1),1,""))</f>
        <v/>
      </c>
      <c r="AL74" s="5" t="str">
        <f ca="1">IF(AND($C74="Objetivo",AL$8&gt;=$F74,AL$8&lt;=$F74+$G74-1),2,IF(AND($C74="Hito",AL$8&gt;=$F74,AL$8&lt;=$F74+$G74-1),1,""))</f>
        <v/>
      </c>
      <c r="AM74" s="5" t="str">
        <f ca="1">IF(AND($C74="Objetivo",AM$8&gt;=$F74,AM$8&lt;=$F74+$G74-1),2,IF(AND($C74="Hito",AM$8&gt;=$F74,AM$8&lt;=$F74+$G74-1),1,""))</f>
        <v/>
      </c>
      <c r="AN74" s="5" t="str">
        <f ca="1">IF(AND($C74="Objetivo",AN$8&gt;=$F74,AN$8&lt;=$F74+$G74-1),2,IF(AND($C74="Hito",AN$8&gt;=$F74,AN$8&lt;=$F74+$G74-1),1,""))</f>
        <v/>
      </c>
      <c r="AO74" s="5" t="str">
        <f ca="1">IF(AND($C74="Objetivo",AO$8&gt;=$F74,AO$8&lt;=$F74+$G74-1),2,IF(AND($C74="Hito",AO$8&gt;=$F74,AO$8&lt;=$F74+$G74-1),1,""))</f>
        <v/>
      </c>
      <c r="AP74" s="5" t="str">
        <f ca="1">IF(AND($C74="Objetivo",AP$8&gt;=$F74,AP$8&lt;=$F74+$G74-1),2,IF(AND($C74="Hito",AP$8&gt;=$F74,AP$8&lt;=$F74+$G74-1),1,""))</f>
        <v/>
      </c>
      <c r="AQ74" s="5" t="str">
        <f ca="1">IF(AND($C74="Objetivo",AQ$8&gt;=$F74,AQ$8&lt;=$F74+$G74-1),2,IF(AND($C74="Hito",AQ$8&gt;=$F74,AQ$8&lt;=$F74+$G74-1),1,""))</f>
        <v/>
      </c>
      <c r="AR74" s="5" t="str">
        <f ca="1">IF(AND($C74="Objetivo",AR$8&gt;=$F74,AR$8&lt;=$F74+$G74-1),2,IF(AND($C74="Hito",AR$8&gt;=$F74,AR$8&lt;=$F74+$G74-1),1,""))</f>
        <v/>
      </c>
      <c r="AS74" s="5" t="str">
        <f ca="1">IF(AND($C74="Objetivo",AS$8&gt;=$F74,AS$8&lt;=$F74+$G74-1),2,IF(AND($C74="Hito",AS$8&gt;=$F74,AS$8&lt;=$F74+$G74-1),1,""))</f>
        <v/>
      </c>
      <c r="AT74" s="5" t="str">
        <f ca="1">IF(AND($C74="Objetivo",AT$8&gt;=$F74,AT$8&lt;=$F74+$G74-1),2,IF(AND($C74="Hito",AT$8&gt;=$F74,AT$8&lt;=$F74+$G74-1),1,""))</f>
        <v/>
      </c>
      <c r="AU74" s="5" t="str">
        <f ca="1">IF(AND($C74="Objetivo",AU$8&gt;=$F74,AU$8&lt;=$F74+$G74-1),2,IF(AND($C74="Hito",AU$8&gt;=$F74,AU$8&lt;=$F74+$G74-1),1,""))</f>
        <v/>
      </c>
      <c r="AV74" s="5" t="str">
        <f ca="1">IF(AND($C74="Objetivo",AV$8&gt;=$F74,AV$8&lt;=$F74+$G74-1),2,IF(AND($C74="Hito",AV$8&gt;=$F74,AV$8&lt;=$F74+$G74-1),1,""))</f>
        <v/>
      </c>
      <c r="AW74" s="5" t="str">
        <f ca="1">IF(AND($C74="Objetivo",AW$8&gt;=$F74,AW$8&lt;=$F74+$G74-1),2,IF(AND($C74="Hito",AW$8&gt;=$F74,AW$8&lt;=$F74+$G74-1),1,""))</f>
        <v/>
      </c>
      <c r="AX74" s="5" t="str">
        <f ca="1">IF(AND($C74="Objetivo",AX$8&gt;=$F74,AX$8&lt;=$F74+$G74-1),2,IF(AND($C74="Hito",AX$8&gt;=$F74,AX$8&lt;=$F74+$G74-1),1,""))</f>
        <v/>
      </c>
      <c r="AY74" s="5" t="str">
        <f ca="1">IF(AND($C74="Objetivo",AY$8&gt;=$F74,AY$8&lt;=$F74+$G74-1),2,IF(AND($C74="Hito",AY$8&gt;=$F74,AY$8&lt;=$F74+$G74-1),1,""))</f>
        <v/>
      </c>
      <c r="AZ74" s="5" t="str">
        <f ca="1">IF(AND($C74="Objetivo",AZ$8&gt;=$F74,AZ$8&lt;=$F74+$G74-1),2,IF(AND($C74="Hito",AZ$8&gt;=$F74,AZ$8&lt;=$F74+$G74-1),1,""))</f>
        <v/>
      </c>
      <c r="BA74" s="5" t="str">
        <f ca="1">IF(AND($C74="Objetivo",BA$8&gt;=$F74,BA$8&lt;=$F74+$G74-1),2,IF(AND($C74="Hito",BA$8&gt;=$F74,BA$8&lt;=$F74+$G74-1),1,""))</f>
        <v/>
      </c>
      <c r="BB74" s="5" t="str">
        <f ca="1">IF(AND($C74="Objetivo",BB$8&gt;=$F74,BB$8&lt;=$F74+$G74-1),2,IF(AND($C74="Hito",BB$8&gt;=$F74,BB$8&lt;=$F74+$G74-1),1,""))</f>
        <v/>
      </c>
      <c r="BC74" s="5" t="str">
        <f ca="1">IF(AND($C74="Objetivo",BC$8&gt;=$F74,BC$8&lt;=$F74+$G74-1),2,IF(AND($C74="Hito",BC$8&gt;=$F74,BC$8&lt;=$F74+$G74-1),1,""))</f>
        <v/>
      </c>
      <c r="BD74" s="5" t="str">
        <f ca="1">IF(AND($C74="Objetivo",BD$8&gt;=$F74,BD$8&lt;=$F74+$G74-1),2,IF(AND($C74="Hito",BD$8&gt;=$F74,BD$8&lt;=$F74+$G74-1),1,""))</f>
        <v/>
      </c>
      <c r="BE74" s="5" t="str">
        <f ca="1">IF(AND($C74="Objetivo",BE$8&gt;=$F74,BE$8&lt;=$F74+$G74-1),2,IF(AND($C74="Hito",BE$8&gt;=$F74,BE$8&lt;=$F74+$G74-1),1,""))</f>
        <v/>
      </c>
      <c r="BF74" s="5" t="str">
        <f ca="1">IF(AND($C74="Objetivo",BF$8&gt;=$F74,BF$8&lt;=$F74+$G74-1),2,IF(AND($C74="Hito",BF$8&gt;=$F74,BF$8&lt;=$F74+$G74-1),1,""))</f>
        <v/>
      </c>
      <c r="BG74" s="5" t="str">
        <f ca="1">IF(AND($C74="Objetivo",BG$8&gt;=$F74,BG$8&lt;=$F74+$G74-1),2,IF(AND($C74="Hito",BG$8&gt;=$F74,BG$8&lt;=$F74+$G74-1),1,""))</f>
        <v/>
      </c>
      <c r="BH74" s="5" t="str">
        <f ca="1">IF(AND($C74="Objetivo",BH$8&gt;=$F74,BH$8&lt;=$F74+$G74-1),2,IF(AND($C74="Hito",BH$8&gt;=$F74,BH$8&lt;=$F74+$G74-1),1,""))</f>
        <v/>
      </c>
      <c r="BI74" s="5" t="str">
        <f ca="1">IF(AND($C74="Objetivo",BI$8&gt;=$F74,BI$8&lt;=$F74+$G74-1),2,IF(AND($C74="Hito",BI$8&gt;=$F74,BI$8&lt;=$F74+$G74-1),1,""))</f>
        <v/>
      </c>
      <c r="BJ74" s="5" t="str">
        <f ca="1">IF(AND($C74="Objetivo",BJ$8&gt;=$F74,BJ$8&lt;=$F74+$G74-1),2,IF(AND($C74="Hito",BJ$8&gt;=$F74,BJ$8&lt;=$F74+$G74-1),1,""))</f>
        <v/>
      </c>
      <c r="BK74" s="5" t="str">
        <f ca="1">IF(AND($C74="Objetivo",BK$8&gt;=$F74,BK$8&lt;=$F74+$G74-1),2,IF(AND($C74="Hito",BK$8&gt;=$F74,BK$8&lt;=$F74+$G74-1),1,""))</f>
        <v/>
      </c>
      <c r="BL74" s="5" t="str">
        <f ca="1">IF(AND($C74="Objetivo",BL$8&gt;=$F74,BL$8&lt;=$F74+$G74-1),2,IF(AND($C74="Hito",BL$8&gt;=$F74,BL$8&lt;=$F74+$G74-1),1,""))</f>
        <v/>
      </c>
      <c r="BM74" s="5" t="str">
        <f ca="1">IF(AND($C74="Objetivo",BM$8&gt;=$F74,BM$8&lt;=$F74+$G74-1),2,IF(AND($C74="Hito",BM$8&gt;=$F74,BM$8&lt;=$F74+$G74-1),1,""))</f>
        <v/>
      </c>
      <c r="BN74" s="5" t="str">
        <f ca="1">IF(AND($C74="Objetivo",BN$8&gt;=$F74,BN$8&lt;=$F74+$G74-1),2,IF(AND($C74="Hito",BN$8&gt;=$F74,BN$8&lt;=$F74+$G74-1),1,""))</f>
        <v/>
      </c>
      <c r="BO74" s="5" t="str">
        <f ca="1">IF(AND($C74="Objetivo",BO$8&gt;=$F74,BO$8&lt;=$F74+$G74-1),2,IF(AND($C74="Hito",BO$8&gt;=$F74,BO$8&lt;=$F74+$G74-1),1,""))</f>
        <v/>
      </c>
      <c r="BP74" s="5" t="str">
        <f ca="1">IF(AND($C74="Objetivo",BP$8&gt;=$F74,BP$8&lt;=$F74+$G74-1),2,IF(AND($C74="Hito",BP$8&gt;=$F74,BP$8&lt;=$F74+$G74-1),1,""))</f>
        <v/>
      </c>
      <c r="BQ74" s="5" t="str">
        <f ca="1">IF(AND($C74="Objetivo",BQ$8&gt;=$F74,BQ$8&lt;=$F74+$G74-1),2,IF(AND($C74="Hito",BQ$8&gt;=$F74,BQ$8&lt;=$F74+$G74-1),1,""))</f>
        <v/>
      </c>
      <c r="BR74" s="5" t="str">
        <f ca="1">IF(AND($C74="Objetivo",BR$8&gt;=$F74,BR$8&lt;=$F74+$G74-1),2,IF(AND($C74="Hito",BR$8&gt;=$F74,BR$8&lt;=$F74+$G74-1),1,""))</f>
        <v/>
      </c>
      <c r="BS74" s="5" t="str">
        <f ca="1">IF(AND($C74="Objetivo",BS$8&gt;=$F74,BS$8&lt;=$F74+$G74-1),2,IF(AND($C74="Hito",BS$8&gt;=$F74,BS$8&lt;=$F74+$G74-1),1,""))</f>
        <v/>
      </c>
      <c r="BT74" s="5" t="str">
        <f ca="1">IF(AND($C74="Objetivo",BT$8&gt;=$F74,BT$8&lt;=$F74+$G74-1),2,IF(AND($C74="Hito",BT$8&gt;=$F74,BT$8&lt;=$F74+$G74-1),1,""))</f>
        <v/>
      </c>
      <c r="BU74" s="5" t="str">
        <f ca="1">IF(AND($C74="Objetivo",BU$8&gt;=$F74,BU$8&lt;=$F74+$G74-1),2,IF(AND($C74="Hito",BU$8&gt;=$F74,BU$8&lt;=$F74+$G74-1),1,""))</f>
        <v/>
      </c>
      <c r="BV74" s="5" t="str">
        <f ca="1">IF(AND($C74="Objetivo",BV$8&gt;=$F74,BV$8&lt;=$F74+$G74-1),2,IF(AND($C74="Hito",BV$8&gt;=$F74,BV$8&lt;=$F74+$G74-1),1,""))</f>
        <v/>
      </c>
      <c r="BW74" s="5" t="str">
        <f ca="1">IF(AND($C74="Objetivo",BW$8&gt;=$F74,BW$8&lt;=$F74+$G74-1),2,IF(AND($C74="Hito",BW$8&gt;=$F74,BW$8&lt;=$F74+$G74-1),1,""))</f>
        <v/>
      </c>
      <c r="BX74" s="5" t="str">
        <f ca="1">IF(AND($C74="Objetivo",BX$8&gt;=$F74,BX$8&lt;=$F74+$G74-1),2,IF(AND($C74="Hito",BX$8&gt;=$F74,BX$8&lt;=$F74+$G74-1),1,""))</f>
        <v/>
      </c>
      <c r="BY74" s="5" t="str">
        <f ca="1">IF(AND($C74="Objetivo",BY$8&gt;=$F74,BY$8&lt;=$F74+$G74-1),2,IF(AND($C74="Hito",BY$8&gt;=$F74,BY$8&lt;=$F74+$G74-1),1,""))</f>
        <v/>
      </c>
      <c r="BZ74" s="5" t="str">
        <f ca="1">IF(AND($C74="Objetivo",BZ$8&gt;=$F74,BZ$8&lt;=$F74+$G74-1),2,IF(AND($C74="Hito",BZ$8&gt;=$F74,BZ$8&lt;=$F74+$G74-1),1,""))</f>
        <v/>
      </c>
      <c r="CA74" s="5" t="str">
        <f ca="1">IF(AND($C74="Objetivo",CA$8&gt;=$F74,CA$8&lt;=$F74+$G74-1),2,IF(AND($C74="Hito",CA$8&gt;=$F74,CA$8&lt;=$F74+$G74-1),1,""))</f>
        <v/>
      </c>
      <c r="CB74" s="5" t="str">
        <f ca="1">IF(AND($C74="Objetivo",CB$8&gt;=$F74,CB$8&lt;=$F74+$G74-1),2,IF(AND($C74="Hito",CB$8&gt;=$F74,CB$8&lt;=$F74+$G74-1),1,""))</f>
        <v/>
      </c>
      <c r="CC74" s="5" t="str">
        <f ca="1">IF(AND($C74="Objetivo",CC$8&gt;=$F74,CC$8&lt;=$F74+$G74-1),2,IF(AND($C74="Hito",CC$8&gt;=$F74,CC$8&lt;=$F74+$G74-1),1,""))</f>
        <v/>
      </c>
      <c r="CD74" s="5" t="str">
        <f ca="1">IF(AND($C74="Objetivo",CD$8&gt;=$F74,CD$8&lt;=$F74+$G74-1),2,IF(AND($C74="Hito",CD$8&gt;=$F74,CD$8&lt;=$F74+$G74-1),1,""))</f>
        <v/>
      </c>
      <c r="CE74" s="5" t="str">
        <f ca="1">IF(AND($C74="Objetivo",CE$8&gt;=$F74,CE$8&lt;=$F74+$G74-1),2,IF(AND($C74="Hito",CE$8&gt;=$F74,CE$8&lt;=$F74+$G74-1),1,""))</f>
        <v/>
      </c>
      <c r="CF74" s="5" t="str">
        <f ca="1">IF(AND($C74="Objetivo",CF$8&gt;=$F74,CF$8&lt;=$F74+$G74-1),2,IF(AND($C74="Hito",CF$8&gt;=$F74,CF$8&lt;=$F74+$G74-1),1,""))</f>
        <v/>
      </c>
      <c r="CG74" s="5" t="str">
        <f ca="1">IF(AND($C74="Objetivo",CG$8&gt;=$F74,CG$8&lt;=$F74+$G74-1),2,IF(AND($C74="Hito",CG$8&gt;=$F74,CG$8&lt;=$F74+$G74-1),1,""))</f>
        <v/>
      </c>
      <c r="CH74" s="5" t="str">
        <f ca="1">IF(AND($C74="Objetivo",CH$8&gt;=$F74,CH$8&lt;=$F74+$G74-1),2,IF(AND($C74="Hito",CH$8&gt;=$F74,CH$8&lt;=$F74+$G74-1),1,""))</f>
        <v/>
      </c>
      <c r="CI74" s="5" t="str">
        <f ca="1">IF(AND($C74="Objetivo",CI$8&gt;=$F74,CI$8&lt;=$F74+$G74-1),2,IF(AND($C74="Hito",CI$8&gt;=$F74,CI$8&lt;=$F74+$G74-1),1,""))</f>
        <v/>
      </c>
      <c r="CJ74" s="5" t="str">
        <f ca="1">IF(AND($C74="Objetivo",CJ$8&gt;=$F74,CJ$8&lt;=$F74+$G74-1),2,IF(AND($C74="Hito",CJ$8&gt;=$F74,CJ$8&lt;=$F74+$G74-1),1,""))</f>
        <v/>
      </c>
      <c r="CK74" s="5" t="str">
        <f ca="1">IF(AND($C74="Objetivo",CK$8&gt;=$F74,CK$8&lt;=$F74+$G74-1),2,IF(AND($C74="Hito",CK$8&gt;=$F74,CK$8&lt;=$F74+$G74-1),1,""))</f>
        <v/>
      </c>
      <c r="CL74" s="5" t="str">
        <f ca="1">IF(AND($C74="Objetivo",CL$8&gt;=$F74,CL$8&lt;=$F74+$G74-1),2,IF(AND($C74="Hito",CL$8&gt;=$F74,CL$8&lt;=$F74+$G74-1),1,""))</f>
        <v/>
      </c>
      <c r="CM74" s="5" t="str">
        <f ca="1">IF(AND($C74="Objetivo",CM$8&gt;=$F74,CM$8&lt;=$F74+$G74-1),2,IF(AND($C74="Hito",CM$8&gt;=$F74,CM$8&lt;=$F74+$G74-1),1,""))</f>
        <v/>
      </c>
      <c r="CN74" s="5" t="str">
        <f ca="1">IF(AND($C74="Objetivo",CN$8&gt;=$F74,CN$8&lt;=$F74+$G74-1),2,IF(AND($C74="Hito",CN$8&gt;=$F74,CN$8&lt;=$F74+$G74-1),1,""))</f>
        <v/>
      </c>
      <c r="CO74" s="5" t="str">
        <f ca="1">IF(AND($C74="Objetivo",CO$8&gt;=$F74,CO$8&lt;=$F74+$G74-1),2,IF(AND($C74="Hito",CO$8&gt;=$F74,CO$8&lt;=$F74+$G74-1),1,""))</f>
        <v/>
      </c>
      <c r="CP74" s="5" t="str">
        <f ca="1">IF(AND($C74="Objetivo",CP$8&gt;=$F74,CP$8&lt;=$F74+$G74-1),2,IF(AND($C74="Hito",CP$8&gt;=$F74,CP$8&lt;=$F74+$G74-1),1,""))</f>
        <v/>
      </c>
      <c r="CQ74" s="5" t="str">
        <f ca="1">IF(AND($C74="Objetivo",CQ$8&gt;=$F74,CQ$8&lt;=$F74+$G74-1),2,IF(AND($C74="Hito",CQ$8&gt;=$F74,CQ$8&lt;=$F74+$G74-1),1,""))</f>
        <v/>
      </c>
      <c r="CR74" s="5" t="str">
        <f ca="1">IF(AND($C74="Objetivo",CR$8&gt;=$F74,CR$8&lt;=$F74+$G74-1),2,IF(AND($C74="Hito",CR$8&gt;=$F74,CR$8&lt;=$F74+$G74-1),1,""))</f>
        <v/>
      </c>
      <c r="CS74" s="5" t="str">
        <f ca="1">IF(AND($C74="Objetivo",CS$8&gt;=$F74,CS$8&lt;=$F74+$G74-1),2,IF(AND($C74="Hito",CS$8&gt;=$F74,CS$8&lt;=$F74+$G74-1),1,""))</f>
        <v/>
      </c>
      <c r="CT74" s="5" t="str">
        <f ca="1">IF(AND($C74="Objetivo",CT$8&gt;=$F74,CT$8&lt;=$F74+$G74-1),2,IF(AND($C74="Hito",CT$8&gt;=$F74,CT$8&lt;=$F74+$G74-1),1,""))</f>
        <v/>
      </c>
      <c r="CU74" s="5" t="str">
        <f ca="1">IF(AND($C74="Objetivo",CU$8&gt;=$F74,CU$8&lt;=$F74+$G74-1),2,IF(AND($C74="Hito",CU$8&gt;=$F74,CU$8&lt;=$F74+$G74-1),1,""))</f>
        <v/>
      </c>
      <c r="CV74" s="5" t="str">
        <f ca="1">IF(AND($C74="Objetivo",CV$8&gt;=$F74,CV$8&lt;=$F74+$G74-1),2,IF(AND($C74="Hito",CV$8&gt;=$F74,CV$8&lt;=$F74+$G74-1),1,""))</f>
        <v/>
      </c>
      <c r="CW74" s="5" t="str">
        <f ca="1">IF(AND($C74="Objetivo",CW$8&gt;=$F74,CW$8&lt;=$F74+$G74-1),2,IF(AND($C74="Hito",CW$8&gt;=$F74,CW$8&lt;=$F74+$G74-1),1,""))</f>
        <v/>
      </c>
      <c r="CX74" s="5" t="str">
        <f ca="1">IF(AND($C74="Objetivo",CX$8&gt;=$F74,CX$8&lt;=$F74+$G74-1),2,IF(AND($C74="Hito",CX$8&gt;=$F74,CX$8&lt;=$F74+$G74-1),1,""))</f>
        <v/>
      </c>
      <c r="CY74" s="5" t="str">
        <f ca="1">IF(AND($C74="Objetivo",CY$8&gt;=$F74,CY$8&lt;=$F74+$G74-1),2,IF(AND($C74="Hito",CY$8&gt;=$F74,CY$8&lt;=$F74+$G74-1),1,""))</f>
        <v/>
      </c>
      <c r="CZ74" s="5" t="str">
        <f ca="1">IF(AND($C74="Objetivo",CZ$8&gt;=$F74,CZ$8&lt;=$F74+$G74-1),2,IF(AND($C74="Hito",CZ$8&gt;=$F74,CZ$8&lt;=$F74+$G74-1),1,""))</f>
        <v/>
      </c>
      <c r="DA74" s="5" t="str">
        <f ca="1">IF(AND($C74="Objetivo",DA$8&gt;=$F74,DA$8&lt;=$F74+$G74-1),2,IF(AND($C74="Hito",DA$8&gt;=$F74,DA$8&lt;=$F74+$G74-1),1,""))</f>
        <v/>
      </c>
      <c r="DB74" s="5" t="str">
        <f ca="1">IF(AND($C74="Objetivo",DB$8&gt;=$F74,DB$8&lt;=$F74+$G74-1),2,IF(AND($C74="Hito",DB$8&gt;=$F74,DB$8&lt;=$F74+$G74-1),1,""))</f>
        <v/>
      </c>
    </row>
    <row r="75" spans="2:106" ht="30" customHeight="1" x14ac:dyDescent="0.25">
      <c r="B75" s="41"/>
      <c r="C75" s="34"/>
      <c r="D75" s="34"/>
      <c r="E75" s="50"/>
      <c r="F75" s="40"/>
      <c r="G75" s="57"/>
      <c r="H75" s="29"/>
      <c r="I75" s="29"/>
      <c r="K75" s="5" t="str">
        <f ca="1">IF(AND($C75="Objetivo",K$8&gt;=$F75,K$8&lt;=$F75+$G75-1),2,IF(AND($C75="Hito",K$8&gt;=$F75,K$8&lt;=$F75+$G75-1),1,""))</f>
        <v/>
      </c>
      <c r="L75" s="5" t="str">
        <f ca="1">IF(AND($C75="Objetivo",L$8&gt;=$F75,L$8&lt;=$F75+$G75-1),2,IF(AND($C75="Hito",L$8&gt;=$F75,L$8&lt;=$F75+$G75-1),1,""))</f>
        <v/>
      </c>
      <c r="M75" s="5" t="str">
        <f ca="1">IF(AND($C75="Objetivo",M$8&gt;=$F75,M$8&lt;=$F75+$G75-1),2,IF(AND($C75="Hito",M$8&gt;=$F75,M$8&lt;=$F75+$G75-1),1,""))</f>
        <v/>
      </c>
      <c r="N75" s="5" t="str">
        <f ca="1">IF(AND($C75="Objetivo",N$8&gt;=$F75,N$8&lt;=$F75+$G75-1),2,IF(AND($C75="Hito",N$8&gt;=$F75,N$8&lt;=$F75+$G75-1),1,""))</f>
        <v/>
      </c>
      <c r="O75" s="5" t="str">
        <f ca="1">IF(AND($C75="Objetivo",O$8&gt;=$F75,O$8&lt;=$F75+$G75-1),2,IF(AND($C75="Hito",O$8&gt;=$F75,O$8&lt;=$F75+$G75-1),1,""))</f>
        <v/>
      </c>
      <c r="P75" s="5" t="str">
        <f ca="1">IF(AND($C75="Objetivo",P$8&gt;=$F75,P$8&lt;=$F75+$G75-1),2,IF(AND($C75="Hito",P$8&gt;=$F75,P$8&lt;=$F75+$G75-1),1,""))</f>
        <v/>
      </c>
      <c r="Q75" s="5" t="str">
        <f ca="1">IF(AND($C75="Objetivo",Q$8&gt;=$F75,Q$8&lt;=$F75+$G75-1),2,IF(AND($C75="Hito",Q$8&gt;=$F75,Q$8&lt;=$F75+$G75-1),1,""))</f>
        <v/>
      </c>
      <c r="R75" s="5" t="str">
        <f ca="1">IF(AND($C75="Objetivo",R$8&gt;=$F75,R$8&lt;=$F75+$G75-1),2,IF(AND($C75="Hito",R$8&gt;=$F75,R$8&lt;=$F75+$G75-1),1,""))</f>
        <v/>
      </c>
      <c r="S75" s="5" t="str">
        <f ca="1">IF(AND($C75="Objetivo",S$8&gt;=$F75,S$8&lt;=$F75+$G75-1),2,IF(AND($C75="Hito",S$8&gt;=$F75,S$8&lt;=$F75+$G75-1),1,""))</f>
        <v/>
      </c>
      <c r="T75" s="5" t="str">
        <f ca="1">IF(AND($C75="Objetivo",T$8&gt;=$F75,T$8&lt;=$F75+$G75-1),2,IF(AND($C75="Hito",T$8&gt;=$F75,T$8&lt;=$F75+$G75-1),1,""))</f>
        <v/>
      </c>
      <c r="U75" s="5" t="str">
        <f ca="1">IF(AND($C75="Objetivo",U$8&gt;=$F75,U$8&lt;=$F75+$G75-1),2,IF(AND($C75="Hito",U$8&gt;=$F75,U$8&lt;=$F75+$G75-1),1,""))</f>
        <v/>
      </c>
      <c r="V75" s="5" t="str">
        <f ca="1">IF(AND($C75="Objetivo",V$8&gt;=$F75,V$8&lt;=$F75+$G75-1),2,IF(AND($C75="Hito",V$8&gt;=$F75,V$8&lt;=$F75+$G75-1),1,""))</f>
        <v/>
      </c>
      <c r="W75" s="5" t="str">
        <f ca="1">IF(AND($C75="Objetivo",W$8&gt;=$F75,W$8&lt;=$F75+$G75-1),2,IF(AND($C75="Hito",W$8&gt;=$F75,W$8&lt;=$F75+$G75-1),1,""))</f>
        <v/>
      </c>
      <c r="X75" s="5" t="str">
        <f ca="1">IF(AND($C75="Objetivo",X$8&gt;=$F75,X$8&lt;=$F75+$G75-1),2,IF(AND($C75="Hito",X$8&gt;=$F75,X$8&lt;=$F75+$G75-1),1,""))</f>
        <v/>
      </c>
      <c r="Y75" s="5" t="str">
        <f ca="1">IF(AND($C75="Objetivo",Y$8&gt;=$F75,Y$8&lt;=$F75+$G75-1),2,IF(AND($C75="Hito",Y$8&gt;=$F75,Y$8&lt;=$F75+$G75-1),1,""))</f>
        <v/>
      </c>
      <c r="Z75" s="5" t="str">
        <f ca="1">IF(AND($C75="Objetivo",Z$8&gt;=$F75,Z$8&lt;=$F75+$G75-1),2,IF(AND($C75="Hito",Z$8&gt;=$F75,Z$8&lt;=$F75+$G75-1),1,""))</f>
        <v/>
      </c>
      <c r="AA75" s="5" t="str">
        <f ca="1">IF(AND($C75="Objetivo",AA$8&gt;=$F75,AA$8&lt;=$F75+$G75-1),2,IF(AND($C75="Hito",AA$8&gt;=$F75,AA$8&lt;=$F75+$G75-1),1,""))</f>
        <v/>
      </c>
      <c r="AB75" s="5" t="str">
        <f ca="1">IF(AND($C75="Objetivo",AB$8&gt;=$F75,AB$8&lt;=$F75+$G75-1),2,IF(AND($C75="Hito",AB$8&gt;=$F75,AB$8&lt;=$F75+$G75-1),1,""))</f>
        <v/>
      </c>
      <c r="AC75" s="5" t="str">
        <f ca="1">IF(AND($C75="Objetivo",AC$8&gt;=$F75,AC$8&lt;=$F75+$G75-1),2,IF(AND($C75="Hito",AC$8&gt;=$F75,AC$8&lt;=$F75+$G75-1),1,""))</f>
        <v/>
      </c>
      <c r="AD75" s="5" t="str">
        <f ca="1">IF(AND($C75="Objetivo",AD$8&gt;=$F75,AD$8&lt;=$F75+$G75-1),2,IF(AND($C75="Hito",AD$8&gt;=$F75,AD$8&lt;=$F75+$G75-1),1,""))</f>
        <v/>
      </c>
      <c r="AE75" s="5" t="str">
        <f ca="1">IF(AND($C75="Objetivo",AE$8&gt;=$F75,AE$8&lt;=$F75+$G75-1),2,IF(AND($C75="Hito",AE$8&gt;=$F75,AE$8&lt;=$F75+$G75-1),1,""))</f>
        <v/>
      </c>
      <c r="AF75" s="5" t="str">
        <f ca="1">IF(AND($C75="Objetivo",AF$8&gt;=$F75,AF$8&lt;=$F75+$G75-1),2,IF(AND($C75="Hito",AF$8&gt;=$F75,AF$8&lt;=$F75+$G75-1),1,""))</f>
        <v/>
      </c>
      <c r="AG75" s="5" t="str">
        <f ca="1">IF(AND($C75="Objetivo",AG$8&gt;=$F75,AG$8&lt;=$F75+$G75-1),2,IF(AND($C75="Hito",AG$8&gt;=$F75,AG$8&lt;=$F75+$G75-1),1,""))</f>
        <v/>
      </c>
      <c r="AH75" s="5" t="str">
        <f ca="1">IF(AND($C75="Objetivo",AH$8&gt;=$F75,AH$8&lt;=$F75+$G75-1),2,IF(AND($C75="Hito",AH$8&gt;=$F75,AH$8&lt;=$F75+$G75-1),1,""))</f>
        <v/>
      </c>
      <c r="AI75" s="5" t="str">
        <f ca="1">IF(AND($C75="Objetivo",AI$8&gt;=$F75,AI$8&lt;=$F75+$G75-1),2,IF(AND($C75="Hito",AI$8&gt;=$F75,AI$8&lt;=$F75+$G75-1),1,""))</f>
        <v/>
      </c>
      <c r="AJ75" s="5" t="str">
        <f ca="1">IF(AND($C75="Objetivo",AJ$8&gt;=$F75,AJ$8&lt;=$F75+$G75-1),2,IF(AND($C75="Hito",AJ$8&gt;=$F75,AJ$8&lt;=$F75+$G75-1),1,""))</f>
        <v/>
      </c>
      <c r="AK75" s="5" t="str">
        <f ca="1">IF(AND($C75="Objetivo",AK$8&gt;=$F75,AK$8&lt;=$F75+$G75-1),2,IF(AND($C75="Hito",AK$8&gt;=$F75,AK$8&lt;=$F75+$G75-1),1,""))</f>
        <v/>
      </c>
      <c r="AL75" s="5" t="str">
        <f ca="1">IF(AND($C75="Objetivo",AL$8&gt;=$F75,AL$8&lt;=$F75+$G75-1),2,IF(AND($C75="Hito",AL$8&gt;=$F75,AL$8&lt;=$F75+$G75-1),1,""))</f>
        <v/>
      </c>
      <c r="AM75" s="5" t="str">
        <f ca="1">IF(AND($C75="Objetivo",AM$8&gt;=$F75,AM$8&lt;=$F75+$G75-1),2,IF(AND($C75="Hito",AM$8&gt;=$F75,AM$8&lt;=$F75+$G75-1),1,""))</f>
        <v/>
      </c>
      <c r="AN75" s="5" t="str">
        <f ca="1">IF(AND($C75="Objetivo",AN$8&gt;=$F75,AN$8&lt;=$F75+$G75-1),2,IF(AND($C75="Hito",AN$8&gt;=$F75,AN$8&lt;=$F75+$G75-1),1,""))</f>
        <v/>
      </c>
      <c r="AO75" s="5" t="str">
        <f ca="1">IF(AND($C75="Objetivo",AO$8&gt;=$F75,AO$8&lt;=$F75+$G75-1),2,IF(AND($C75="Hito",AO$8&gt;=$F75,AO$8&lt;=$F75+$G75-1),1,""))</f>
        <v/>
      </c>
      <c r="AP75" s="5" t="str">
        <f ca="1">IF(AND($C75="Objetivo",AP$8&gt;=$F75,AP$8&lt;=$F75+$G75-1),2,IF(AND($C75="Hito",AP$8&gt;=$F75,AP$8&lt;=$F75+$G75-1),1,""))</f>
        <v/>
      </c>
      <c r="AQ75" s="5" t="str">
        <f ca="1">IF(AND($C75="Objetivo",AQ$8&gt;=$F75,AQ$8&lt;=$F75+$G75-1),2,IF(AND($C75="Hito",AQ$8&gt;=$F75,AQ$8&lt;=$F75+$G75-1),1,""))</f>
        <v/>
      </c>
      <c r="AR75" s="5" t="str">
        <f ca="1">IF(AND($C75="Objetivo",AR$8&gt;=$F75,AR$8&lt;=$F75+$G75-1),2,IF(AND($C75="Hito",AR$8&gt;=$F75,AR$8&lt;=$F75+$G75-1),1,""))</f>
        <v/>
      </c>
      <c r="AS75" s="5" t="str">
        <f ca="1">IF(AND($C75="Objetivo",AS$8&gt;=$F75,AS$8&lt;=$F75+$G75-1),2,IF(AND($C75="Hito",AS$8&gt;=$F75,AS$8&lt;=$F75+$G75-1),1,""))</f>
        <v/>
      </c>
      <c r="AT75" s="5" t="str">
        <f ca="1">IF(AND($C75="Objetivo",AT$8&gt;=$F75,AT$8&lt;=$F75+$G75-1),2,IF(AND($C75="Hito",AT$8&gt;=$F75,AT$8&lt;=$F75+$G75-1),1,""))</f>
        <v/>
      </c>
      <c r="AU75" s="5" t="str">
        <f ca="1">IF(AND($C75="Objetivo",AU$8&gt;=$F75,AU$8&lt;=$F75+$G75-1),2,IF(AND($C75="Hito",AU$8&gt;=$F75,AU$8&lt;=$F75+$G75-1),1,""))</f>
        <v/>
      </c>
      <c r="AV75" s="5" t="str">
        <f ca="1">IF(AND($C75="Objetivo",AV$8&gt;=$F75,AV$8&lt;=$F75+$G75-1),2,IF(AND($C75="Hito",AV$8&gt;=$F75,AV$8&lt;=$F75+$G75-1),1,""))</f>
        <v/>
      </c>
      <c r="AW75" s="5" t="str">
        <f ca="1">IF(AND($C75="Objetivo",AW$8&gt;=$F75,AW$8&lt;=$F75+$G75-1),2,IF(AND($C75="Hito",AW$8&gt;=$F75,AW$8&lt;=$F75+$G75-1),1,""))</f>
        <v/>
      </c>
      <c r="AX75" s="5" t="str">
        <f ca="1">IF(AND($C75="Objetivo",AX$8&gt;=$F75,AX$8&lt;=$F75+$G75-1),2,IF(AND($C75="Hito",AX$8&gt;=$F75,AX$8&lt;=$F75+$G75-1),1,""))</f>
        <v/>
      </c>
      <c r="AY75" s="5" t="str">
        <f ca="1">IF(AND($C75="Objetivo",AY$8&gt;=$F75,AY$8&lt;=$F75+$G75-1),2,IF(AND($C75="Hito",AY$8&gt;=$F75,AY$8&lt;=$F75+$G75-1),1,""))</f>
        <v/>
      </c>
      <c r="AZ75" s="5" t="str">
        <f ca="1">IF(AND($C75="Objetivo",AZ$8&gt;=$F75,AZ$8&lt;=$F75+$G75-1),2,IF(AND($C75="Hito",AZ$8&gt;=$F75,AZ$8&lt;=$F75+$G75-1),1,""))</f>
        <v/>
      </c>
      <c r="BA75" s="5" t="str">
        <f ca="1">IF(AND($C75="Objetivo",BA$8&gt;=$F75,BA$8&lt;=$F75+$G75-1),2,IF(AND($C75="Hito",BA$8&gt;=$F75,BA$8&lt;=$F75+$G75-1),1,""))</f>
        <v/>
      </c>
      <c r="BB75" s="5" t="str">
        <f ca="1">IF(AND($C75="Objetivo",BB$8&gt;=$F75,BB$8&lt;=$F75+$G75-1),2,IF(AND($C75="Hito",BB$8&gt;=$F75,BB$8&lt;=$F75+$G75-1),1,""))</f>
        <v/>
      </c>
      <c r="BC75" s="5" t="str">
        <f ca="1">IF(AND($C75="Objetivo",BC$8&gt;=$F75,BC$8&lt;=$F75+$G75-1),2,IF(AND($C75="Hito",BC$8&gt;=$F75,BC$8&lt;=$F75+$G75-1),1,""))</f>
        <v/>
      </c>
      <c r="BD75" s="5" t="str">
        <f ca="1">IF(AND($C75="Objetivo",BD$8&gt;=$F75,BD$8&lt;=$F75+$G75-1),2,IF(AND($C75="Hito",BD$8&gt;=$F75,BD$8&lt;=$F75+$G75-1),1,""))</f>
        <v/>
      </c>
      <c r="BE75" s="5" t="str">
        <f ca="1">IF(AND($C75="Objetivo",BE$8&gt;=$F75,BE$8&lt;=$F75+$G75-1),2,IF(AND($C75="Hito",BE$8&gt;=$F75,BE$8&lt;=$F75+$G75-1),1,""))</f>
        <v/>
      </c>
      <c r="BF75" s="5" t="str">
        <f ca="1">IF(AND($C75="Objetivo",BF$8&gt;=$F75,BF$8&lt;=$F75+$G75-1),2,IF(AND($C75="Hito",BF$8&gt;=$F75,BF$8&lt;=$F75+$G75-1),1,""))</f>
        <v/>
      </c>
      <c r="BG75" s="5" t="str">
        <f ca="1">IF(AND($C75="Objetivo",BG$8&gt;=$F75,BG$8&lt;=$F75+$G75-1),2,IF(AND($C75="Hito",BG$8&gt;=$F75,BG$8&lt;=$F75+$G75-1),1,""))</f>
        <v/>
      </c>
      <c r="BH75" s="5" t="str">
        <f ca="1">IF(AND($C75="Objetivo",BH$8&gt;=$F75,BH$8&lt;=$F75+$G75-1),2,IF(AND($C75="Hito",BH$8&gt;=$F75,BH$8&lt;=$F75+$G75-1),1,""))</f>
        <v/>
      </c>
      <c r="BI75" s="5" t="str">
        <f ca="1">IF(AND($C75="Objetivo",BI$8&gt;=$F75,BI$8&lt;=$F75+$G75-1),2,IF(AND($C75="Hito",BI$8&gt;=$F75,BI$8&lt;=$F75+$G75-1),1,""))</f>
        <v/>
      </c>
      <c r="BJ75" s="5" t="str">
        <f ca="1">IF(AND($C75="Objetivo",BJ$8&gt;=$F75,BJ$8&lt;=$F75+$G75-1),2,IF(AND($C75="Hito",BJ$8&gt;=$F75,BJ$8&lt;=$F75+$G75-1),1,""))</f>
        <v/>
      </c>
      <c r="BK75" s="5" t="str">
        <f ca="1">IF(AND($C75="Objetivo",BK$8&gt;=$F75,BK$8&lt;=$F75+$G75-1),2,IF(AND($C75="Hito",BK$8&gt;=$F75,BK$8&lt;=$F75+$G75-1),1,""))</f>
        <v/>
      </c>
      <c r="BL75" s="5" t="str">
        <f ca="1">IF(AND($C75="Objetivo",BL$8&gt;=$F75,BL$8&lt;=$F75+$G75-1),2,IF(AND($C75="Hito",BL$8&gt;=$F75,BL$8&lt;=$F75+$G75-1),1,""))</f>
        <v/>
      </c>
      <c r="BM75" s="5" t="str">
        <f ca="1">IF(AND($C75="Objetivo",BM$8&gt;=$F75,BM$8&lt;=$F75+$G75-1),2,IF(AND($C75="Hito",BM$8&gt;=$F75,BM$8&lt;=$F75+$G75-1),1,""))</f>
        <v/>
      </c>
      <c r="BN75" s="5" t="str">
        <f ca="1">IF(AND($C75="Objetivo",BN$8&gt;=$F75,BN$8&lt;=$F75+$G75-1),2,IF(AND($C75="Hito",BN$8&gt;=$F75,BN$8&lt;=$F75+$G75-1),1,""))</f>
        <v/>
      </c>
      <c r="BO75" s="5" t="str">
        <f ca="1">IF(AND($C75="Objetivo",BO$8&gt;=$F75,BO$8&lt;=$F75+$G75-1),2,IF(AND($C75="Hito",BO$8&gt;=$F75,BO$8&lt;=$F75+$G75-1),1,""))</f>
        <v/>
      </c>
      <c r="BP75" s="5" t="str">
        <f ca="1">IF(AND($C75="Objetivo",BP$8&gt;=$F75,BP$8&lt;=$F75+$G75-1),2,IF(AND($C75="Hito",BP$8&gt;=$F75,BP$8&lt;=$F75+$G75-1),1,""))</f>
        <v/>
      </c>
      <c r="BQ75" s="5" t="str">
        <f ca="1">IF(AND($C75="Objetivo",BQ$8&gt;=$F75,BQ$8&lt;=$F75+$G75-1),2,IF(AND($C75="Hito",BQ$8&gt;=$F75,BQ$8&lt;=$F75+$G75-1),1,""))</f>
        <v/>
      </c>
      <c r="BR75" s="5" t="str">
        <f ca="1">IF(AND($C75="Objetivo",BR$8&gt;=$F75,BR$8&lt;=$F75+$G75-1),2,IF(AND($C75="Hito",BR$8&gt;=$F75,BR$8&lt;=$F75+$G75-1),1,""))</f>
        <v/>
      </c>
      <c r="BS75" s="5" t="str">
        <f ca="1">IF(AND($C75="Objetivo",BS$8&gt;=$F75,BS$8&lt;=$F75+$G75-1),2,IF(AND($C75="Hito",BS$8&gt;=$F75,BS$8&lt;=$F75+$G75-1),1,""))</f>
        <v/>
      </c>
      <c r="BT75" s="5" t="str">
        <f ca="1">IF(AND($C75="Objetivo",BT$8&gt;=$F75,BT$8&lt;=$F75+$G75-1),2,IF(AND($C75="Hito",BT$8&gt;=$F75,BT$8&lt;=$F75+$G75-1),1,""))</f>
        <v/>
      </c>
      <c r="BU75" s="5" t="str">
        <f ca="1">IF(AND($C75="Objetivo",BU$8&gt;=$F75,BU$8&lt;=$F75+$G75-1),2,IF(AND($C75="Hito",BU$8&gt;=$F75,BU$8&lt;=$F75+$G75-1),1,""))</f>
        <v/>
      </c>
      <c r="BV75" s="5" t="str">
        <f ca="1">IF(AND($C75="Objetivo",BV$8&gt;=$F75,BV$8&lt;=$F75+$G75-1),2,IF(AND($C75="Hito",BV$8&gt;=$F75,BV$8&lt;=$F75+$G75-1),1,""))</f>
        <v/>
      </c>
      <c r="BW75" s="5" t="str">
        <f ca="1">IF(AND($C75="Objetivo",BW$8&gt;=$F75,BW$8&lt;=$F75+$G75-1),2,IF(AND($C75="Hito",BW$8&gt;=$F75,BW$8&lt;=$F75+$G75-1),1,""))</f>
        <v/>
      </c>
      <c r="BX75" s="5" t="str">
        <f ca="1">IF(AND($C75="Objetivo",BX$8&gt;=$F75,BX$8&lt;=$F75+$G75-1),2,IF(AND($C75="Hito",BX$8&gt;=$F75,BX$8&lt;=$F75+$G75-1),1,""))</f>
        <v/>
      </c>
      <c r="BY75" s="5" t="str">
        <f ca="1">IF(AND($C75="Objetivo",BY$8&gt;=$F75,BY$8&lt;=$F75+$G75-1),2,IF(AND($C75="Hito",BY$8&gt;=$F75,BY$8&lt;=$F75+$G75-1),1,""))</f>
        <v/>
      </c>
      <c r="BZ75" s="5" t="str">
        <f ca="1">IF(AND($C75="Objetivo",BZ$8&gt;=$F75,BZ$8&lt;=$F75+$G75-1),2,IF(AND($C75="Hito",BZ$8&gt;=$F75,BZ$8&lt;=$F75+$G75-1),1,""))</f>
        <v/>
      </c>
      <c r="CA75" s="5" t="str">
        <f ca="1">IF(AND($C75="Objetivo",CA$8&gt;=$F75,CA$8&lt;=$F75+$G75-1),2,IF(AND($C75="Hito",CA$8&gt;=$F75,CA$8&lt;=$F75+$G75-1),1,""))</f>
        <v/>
      </c>
      <c r="CB75" s="5" t="str">
        <f ca="1">IF(AND($C75="Objetivo",CB$8&gt;=$F75,CB$8&lt;=$F75+$G75-1),2,IF(AND($C75="Hito",CB$8&gt;=$F75,CB$8&lt;=$F75+$G75-1),1,""))</f>
        <v/>
      </c>
      <c r="CC75" s="5" t="str">
        <f ca="1">IF(AND($C75="Objetivo",CC$8&gt;=$F75,CC$8&lt;=$F75+$G75-1),2,IF(AND($C75="Hito",CC$8&gt;=$F75,CC$8&lt;=$F75+$G75-1),1,""))</f>
        <v/>
      </c>
      <c r="CD75" s="5" t="str">
        <f ca="1">IF(AND($C75="Objetivo",CD$8&gt;=$F75,CD$8&lt;=$F75+$G75-1),2,IF(AND($C75="Hito",CD$8&gt;=$F75,CD$8&lt;=$F75+$G75-1),1,""))</f>
        <v/>
      </c>
      <c r="CE75" s="5" t="str">
        <f ca="1">IF(AND($C75="Objetivo",CE$8&gt;=$F75,CE$8&lt;=$F75+$G75-1),2,IF(AND($C75="Hito",CE$8&gt;=$F75,CE$8&lt;=$F75+$G75-1),1,""))</f>
        <v/>
      </c>
      <c r="CF75" s="5" t="str">
        <f ca="1">IF(AND($C75="Objetivo",CF$8&gt;=$F75,CF$8&lt;=$F75+$G75-1),2,IF(AND($C75="Hito",CF$8&gt;=$F75,CF$8&lt;=$F75+$G75-1),1,""))</f>
        <v/>
      </c>
      <c r="CG75" s="5" t="str">
        <f ca="1">IF(AND($C75="Objetivo",CG$8&gt;=$F75,CG$8&lt;=$F75+$G75-1),2,IF(AND($C75="Hito",CG$8&gt;=$F75,CG$8&lt;=$F75+$G75-1),1,""))</f>
        <v/>
      </c>
      <c r="CH75" s="5" t="str">
        <f ca="1">IF(AND($C75="Objetivo",CH$8&gt;=$F75,CH$8&lt;=$F75+$G75-1),2,IF(AND($C75="Hito",CH$8&gt;=$F75,CH$8&lt;=$F75+$G75-1),1,""))</f>
        <v/>
      </c>
      <c r="CI75" s="5" t="str">
        <f ca="1">IF(AND($C75="Objetivo",CI$8&gt;=$F75,CI$8&lt;=$F75+$G75-1),2,IF(AND($C75="Hito",CI$8&gt;=$F75,CI$8&lt;=$F75+$G75-1),1,""))</f>
        <v/>
      </c>
      <c r="CJ75" s="5" t="str">
        <f ca="1">IF(AND($C75="Objetivo",CJ$8&gt;=$F75,CJ$8&lt;=$F75+$G75-1),2,IF(AND($C75="Hito",CJ$8&gt;=$F75,CJ$8&lt;=$F75+$G75-1),1,""))</f>
        <v/>
      </c>
      <c r="CK75" s="5" t="str">
        <f ca="1">IF(AND($C75="Objetivo",CK$8&gt;=$F75,CK$8&lt;=$F75+$G75-1),2,IF(AND($C75="Hito",CK$8&gt;=$F75,CK$8&lt;=$F75+$G75-1),1,""))</f>
        <v/>
      </c>
      <c r="CL75" s="5" t="str">
        <f ca="1">IF(AND($C75="Objetivo",CL$8&gt;=$F75,CL$8&lt;=$F75+$G75-1),2,IF(AND($C75="Hito",CL$8&gt;=$F75,CL$8&lt;=$F75+$G75-1),1,""))</f>
        <v/>
      </c>
      <c r="CM75" s="5" t="str">
        <f ca="1">IF(AND($C75="Objetivo",CM$8&gt;=$F75,CM$8&lt;=$F75+$G75-1),2,IF(AND($C75="Hito",CM$8&gt;=$F75,CM$8&lt;=$F75+$G75-1),1,""))</f>
        <v/>
      </c>
      <c r="CN75" s="5" t="str">
        <f ca="1">IF(AND($C75="Objetivo",CN$8&gt;=$F75,CN$8&lt;=$F75+$G75-1),2,IF(AND($C75="Hito",CN$8&gt;=$F75,CN$8&lt;=$F75+$G75-1),1,""))</f>
        <v/>
      </c>
      <c r="CO75" s="5" t="str">
        <f ca="1">IF(AND($C75="Objetivo",CO$8&gt;=$F75,CO$8&lt;=$F75+$G75-1),2,IF(AND($C75="Hito",CO$8&gt;=$F75,CO$8&lt;=$F75+$G75-1),1,""))</f>
        <v/>
      </c>
      <c r="CP75" s="5" t="str">
        <f ca="1">IF(AND($C75="Objetivo",CP$8&gt;=$F75,CP$8&lt;=$F75+$G75-1),2,IF(AND($C75="Hito",CP$8&gt;=$F75,CP$8&lt;=$F75+$G75-1),1,""))</f>
        <v/>
      </c>
      <c r="CQ75" s="5" t="str">
        <f ca="1">IF(AND($C75="Objetivo",CQ$8&gt;=$F75,CQ$8&lt;=$F75+$G75-1),2,IF(AND($C75="Hito",CQ$8&gt;=$F75,CQ$8&lt;=$F75+$G75-1),1,""))</f>
        <v/>
      </c>
      <c r="CR75" s="5" t="str">
        <f ca="1">IF(AND($C75="Objetivo",CR$8&gt;=$F75,CR$8&lt;=$F75+$G75-1),2,IF(AND($C75="Hito",CR$8&gt;=$F75,CR$8&lt;=$F75+$G75-1),1,""))</f>
        <v/>
      </c>
      <c r="CS75" s="5" t="str">
        <f ca="1">IF(AND($C75="Objetivo",CS$8&gt;=$F75,CS$8&lt;=$F75+$G75-1),2,IF(AND($C75="Hito",CS$8&gt;=$F75,CS$8&lt;=$F75+$G75-1),1,""))</f>
        <v/>
      </c>
      <c r="CT75" s="5" t="str">
        <f ca="1">IF(AND($C75="Objetivo",CT$8&gt;=$F75,CT$8&lt;=$F75+$G75-1),2,IF(AND($C75="Hito",CT$8&gt;=$F75,CT$8&lt;=$F75+$G75-1),1,""))</f>
        <v/>
      </c>
      <c r="CU75" s="5" t="str">
        <f ca="1">IF(AND($C75="Objetivo",CU$8&gt;=$F75,CU$8&lt;=$F75+$G75-1),2,IF(AND($C75="Hito",CU$8&gt;=$F75,CU$8&lt;=$F75+$G75-1),1,""))</f>
        <v/>
      </c>
      <c r="CV75" s="5" t="str">
        <f ca="1">IF(AND($C75="Objetivo",CV$8&gt;=$F75,CV$8&lt;=$F75+$G75-1),2,IF(AND($C75="Hito",CV$8&gt;=$F75,CV$8&lt;=$F75+$G75-1),1,""))</f>
        <v/>
      </c>
      <c r="CW75" s="5" t="str">
        <f ca="1">IF(AND($C75="Objetivo",CW$8&gt;=$F75,CW$8&lt;=$F75+$G75-1),2,IF(AND($C75="Hito",CW$8&gt;=$F75,CW$8&lt;=$F75+$G75-1),1,""))</f>
        <v/>
      </c>
      <c r="CX75" s="5" t="str">
        <f ca="1">IF(AND($C75="Objetivo",CX$8&gt;=$F75,CX$8&lt;=$F75+$G75-1),2,IF(AND($C75="Hito",CX$8&gt;=$F75,CX$8&lt;=$F75+$G75-1),1,""))</f>
        <v/>
      </c>
      <c r="CY75" s="5" t="str">
        <f ca="1">IF(AND($C75="Objetivo",CY$8&gt;=$F75,CY$8&lt;=$F75+$G75-1),2,IF(AND($C75="Hito",CY$8&gt;=$F75,CY$8&lt;=$F75+$G75-1),1,""))</f>
        <v/>
      </c>
      <c r="CZ75" s="5" t="str">
        <f ca="1">IF(AND($C75="Objetivo",CZ$8&gt;=$F75,CZ$8&lt;=$F75+$G75-1),2,IF(AND($C75="Hito",CZ$8&gt;=$F75,CZ$8&lt;=$F75+$G75-1),1,""))</f>
        <v/>
      </c>
      <c r="DA75" s="5" t="str">
        <f ca="1">IF(AND($C75="Objetivo",DA$8&gt;=$F75,DA$8&lt;=$F75+$G75-1),2,IF(AND($C75="Hito",DA$8&gt;=$F75,DA$8&lt;=$F75+$G75-1),1,""))</f>
        <v/>
      </c>
      <c r="DB75" s="5" t="str">
        <f ca="1">IF(AND($C75="Objetivo",DB$8&gt;=$F75,DB$8&lt;=$F75+$G75-1),2,IF(AND($C75="Hito",DB$8&gt;=$F75,DB$8&lt;=$F75+$G75-1),1,""))</f>
        <v/>
      </c>
    </row>
    <row r="76" spans="2:106" ht="30" customHeight="1" x14ac:dyDescent="0.25">
      <c r="B76" s="41"/>
      <c r="C76" s="34"/>
      <c r="D76" s="34"/>
      <c r="E76" s="50"/>
      <c r="F76" s="40"/>
      <c r="G76" s="57"/>
      <c r="H76" s="29"/>
      <c r="I76" s="29"/>
      <c r="K76" s="5" t="str">
        <f ca="1">IF(AND($C76="Objetivo",K$8&gt;=$F76,K$8&lt;=$F76+$G76-1),2,IF(AND($C76="Hito",K$8&gt;=$F76,K$8&lt;=$F76+$G76-1),1,""))</f>
        <v/>
      </c>
      <c r="L76" s="5" t="str">
        <f ca="1">IF(AND($C76="Objetivo",L$8&gt;=$F76,L$8&lt;=$F76+$G76-1),2,IF(AND($C76="Hito",L$8&gt;=$F76,L$8&lt;=$F76+$G76-1),1,""))</f>
        <v/>
      </c>
      <c r="M76" s="5" t="str">
        <f ca="1">IF(AND($C76="Objetivo",M$8&gt;=$F76,M$8&lt;=$F76+$G76-1),2,IF(AND($C76="Hito",M$8&gt;=$F76,M$8&lt;=$F76+$G76-1),1,""))</f>
        <v/>
      </c>
      <c r="N76" s="5" t="str">
        <f ca="1">IF(AND($C76="Objetivo",N$8&gt;=$F76,N$8&lt;=$F76+$G76-1),2,IF(AND($C76="Hito",N$8&gt;=$F76,N$8&lt;=$F76+$G76-1),1,""))</f>
        <v/>
      </c>
      <c r="O76" s="5" t="str">
        <f ca="1">IF(AND($C76="Objetivo",O$8&gt;=$F76,O$8&lt;=$F76+$G76-1),2,IF(AND($C76="Hito",O$8&gt;=$F76,O$8&lt;=$F76+$G76-1),1,""))</f>
        <v/>
      </c>
      <c r="P76" s="5" t="str">
        <f ca="1">IF(AND($C76="Objetivo",P$8&gt;=$F76,P$8&lt;=$F76+$G76-1),2,IF(AND($C76="Hito",P$8&gt;=$F76,P$8&lt;=$F76+$G76-1),1,""))</f>
        <v/>
      </c>
      <c r="Q76" s="5" t="str">
        <f ca="1">IF(AND($C76="Objetivo",Q$8&gt;=$F76,Q$8&lt;=$F76+$G76-1),2,IF(AND($C76="Hito",Q$8&gt;=$F76,Q$8&lt;=$F76+$G76-1),1,""))</f>
        <v/>
      </c>
      <c r="R76" s="5" t="str">
        <f ca="1">IF(AND($C76="Objetivo",R$8&gt;=$F76,R$8&lt;=$F76+$G76-1),2,IF(AND($C76="Hito",R$8&gt;=$F76,R$8&lt;=$F76+$G76-1),1,""))</f>
        <v/>
      </c>
      <c r="S76" s="5" t="str">
        <f ca="1">IF(AND($C76="Objetivo",S$8&gt;=$F76,S$8&lt;=$F76+$G76-1),2,IF(AND($C76="Hito",S$8&gt;=$F76,S$8&lt;=$F76+$G76-1),1,""))</f>
        <v/>
      </c>
      <c r="T76" s="5" t="str">
        <f ca="1">IF(AND($C76="Objetivo",T$8&gt;=$F76,T$8&lt;=$F76+$G76-1),2,IF(AND($C76="Hito",T$8&gt;=$F76,T$8&lt;=$F76+$G76-1),1,""))</f>
        <v/>
      </c>
      <c r="U76" s="5" t="str">
        <f ca="1">IF(AND($C76="Objetivo",U$8&gt;=$F76,U$8&lt;=$F76+$G76-1),2,IF(AND($C76="Hito",U$8&gt;=$F76,U$8&lt;=$F76+$G76-1),1,""))</f>
        <v/>
      </c>
      <c r="V76" s="5" t="str">
        <f ca="1">IF(AND($C76="Objetivo",V$8&gt;=$F76,V$8&lt;=$F76+$G76-1),2,IF(AND($C76="Hito",V$8&gt;=$F76,V$8&lt;=$F76+$G76-1),1,""))</f>
        <v/>
      </c>
      <c r="W76" s="5" t="str">
        <f ca="1">IF(AND($C76="Objetivo",W$8&gt;=$F76,W$8&lt;=$F76+$G76-1),2,IF(AND($C76="Hito",W$8&gt;=$F76,W$8&lt;=$F76+$G76-1),1,""))</f>
        <v/>
      </c>
      <c r="X76" s="5" t="str">
        <f ca="1">IF(AND($C76="Objetivo",X$8&gt;=$F76,X$8&lt;=$F76+$G76-1),2,IF(AND($C76="Hito",X$8&gt;=$F76,X$8&lt;=$F76+$G76-1),1,""))</f>
        <v/>
      </c>
      <c r="Y76" s="5" t="str">
        <f ca="1">IF(AND($C76="Objetivo",Y$8&gt;=$F76,Y$8&lt;=$F76+$G76-1),2,IF(AND($C76="Hito",Y$8&gt;=$F76,Y$8&lt;=$F76+$G76-1),1,""))</f>
        <v/>
      </c>
      <c r="Z76" s="5" t="str">
        <f ca="1">IF(AND($C76="Objetivo",Z$8&gt;=$F76,Z$8&lt;=$F76+$G76-1),2,IF(AND($C76="Hito",Z$8&gt;=$F76,Z$8&lt;=$F76+$G76-1),1,""))</f>
        <v/>
      </c>
      <c r="AA76" s="5" t="str">
        <f ca="1">IF(AND($C76="Objetivo",AA$8&gt;=$F76,AA$8&lt;=$F76+$G76-1),2,IF(AND($C76="Hito",AA$8&gt;=$F76,AA$8&lt;=$F76+$G76-1),1,""))</f>
        <v/>
      </c>
      <c r="AB76" s="5" t="str">
        <f ca="1">IF(AND($C76="Objetivo",AB$8&gt;=$F76,AB$8&lt;=$F76+$G76-1),2,IF(AND($C76="Hito",AB$8&gt;=$F76,AB$8&lt;=$F76+$G76-1),1,""))</f>
        <v/>
      </c>
      <c r="AC76" s="5" t="str">
        <f ca="1">IF(AND($C76="Objetivo",AC$8&gt;=$F76,AC$8&lt;=$F76+$G76-1),2,IF(AND($C76="Hito",AC$8&gt;=$F76,AC$8&lt;=$F76+$G76-1),1,""))</f>
        <v/>
      </c>
      <c r="AD76" s="5" t="str">
        <f ca="1">IF(AND($C76="Objetivo",AD$8&gt;=$F76,AD$8&lt;=$F76+$G76-1),2,IF(AND($C76="Hito",AD$8&gt;=$F76,AD$8&lt;=$F76+$G76-1),1,""))</f>
        <v/>
      </c>
      <c r="AE76" s="5" t="str">
        <f ca="1">IF(AND($C76="Objetivo",AE$8&gt;=$F76,AE$8&lt;=$F76+$G76-1),2,IF(AND($C76="Hito",AE$8&gt;=$F76,AE$8&lt;=$F76+$G76-1),1,""))</f>
        <v/>
      </c>
      <c r="AF76" s="5" t="str">
        <f ca="1">IF(AND($C76="Objetivo",AF$8&gt;=$F76,AF$8&lt;=$F76+$G76-1),2,IF(AND($C76="Hito",AF$8&gt;=$F76,AF$8&lt;=$F76+$G76-1),1,""))</f>
        <v/>
      </c>
      <c r="AG76" s="5" t="str">
        <f ca="1">IF(AND($C76="Objetivo",AG$8&gt;=$F76,AG$8&lt;=$F76+$G76-1),2,IF(AND($C76="Hito",AG$8&gt;=$F76,AG$8&lt;=$F76+$G76-1),1,""))</f>
        <v/>
      </c>
      <c r="AH76" s="5" t="str">
        <f ca="1">IF(AND($C76="Objetivo",AH$8&gt;=$F76,AH$8&lt;=$F76+$G76-1),2,IF(AND($C76="Hito",AH$8&gt;=$F76,AH$8&lt;=$F76+$G76-1),1,""))</f>
        <v/>
      </c>
      <c r="AI76" s="5" t="str">
        <f ca="1">IF(AND($C76="Objetivo",AI$8&gt;=$F76,AI$8&lt;=$F76+$G76-1),2,IF(AND($C76="Hito",AI$8&gt;=$F76,AI$8&lt;=$F76+$G76-1),1,""))</f>
        <v/>
      </c>
      <c r="AJ76" s="5" t="str">
        <f ca="1">IF(AND($C76="Objetivo",AJ$8&gt;=$F76,AJ$8&lt;=$F76+$G76-1),2,IF(AND($C76="Hito",AJ$8&gt;=$F76,AJ$8&lt;=$F76+$G76-1),1,""))</f>
        <v/>
      </c>
      <c r="AK76" s="5" t="str">
        <f ca="1">IF(AND($C76="Objetivo",AK$8&gt;=$F76,AK$8&lt;=$F76+$G76-1),2,IF(AND($C76="Hito",AK$8&gt;=$F76,AK$8&lt;=$F76+$G76-1),1,""))</f>
        <v/>
      </c>
      <c r="AL76" s="5" t="str">
        <f ca="1">IF(AND($C76="Objetivo",AL$8&gt;=$F76,AL$8&lt;=$F76+$G76-1),2,IF(AND($C76="Hito",AL$8&gt;=$F76,AL$8&lt;=$F76+$G76-1),1,""))</f>
        <v/>
      </c>
      <c r="AM76" s="5" t="str">
        <f ca="1">IF(AND($C76="Objetivo",AM$8&gt;=$F76,AM$8&lt;=$F76+$G76-1),2,IF(AND($C76="Hito",AM$8&gt;=$F76,AM$8&lt;=$F76+$G76-1),1,""))</f>
        <v/>
      </c>
      <c r="AN76" s="5" t="str">
        <f ca="1">IF(AND($C76="Objetivo",AN$8&gt;=$F76,AN$8&lt;=$F76+$G76-1),2,IF(AND($C76="Hito",AN$8&gt;=$F76,AN$8&lt;=$F76+$G76-1),1,""))</f>
        <v/>
      </c>
      <c r="AO76" s="5" t="str">
        <f ca="1">IF(AND($C76="Objetivo",AO$8&gt;=$F76,AO$8&lt;=$F76+$G76-1),2,IF(AND($C76="Hito",AO$8&gt;=$F76,AO$8&lt;=$F76+$G76-1),1,""))</f>
        <v/>
      </c>
      <c r="AP76" s="5" t="str">
        <f ca="1">IF(AND($C76="Objetivo",AP$8&gt;=$F76,AP$8&lt;=$F76+$G76-1),2,IF(AND($C76="Hito",AP$8&gt;=$F76,AP$8&lt;=$F76+$G76-1),1,""))</f>
        <v/>
      </c>
      <c r="AQ76" s="5" t="str">
        <f ca="1">IF(AND($C76="Objetivo",AQ$8&gt;=$F76,AQ$8&lt;=$F76+$G76-1),2,IF(AND($C76="Hito",AQ$8&gt;=$F76,AQ$8&lt;=$F76+$G76-1),1,""))</f>
        <v/>
      </c>
      <c r="AR76" s="5" t="str">
        <f ca="1">IF(AND($C76="Objetivo",AR$8&gt;=$F76,AR$8&lt;=$F76+$G76-1),2,IF(AND($C76="Hito",AR$8&gt;=$F76,AR$8&lt;=$F76+$G76-1),1,""))</f>
        <v/>
      </c>
      <c r="AS76" s="5" t="str">
        <f ca="1">IF(AND($C76="Objetivo",AS$8&gt;=$F76,AS$8&lt;=$F76+$G76-1),2,IF(AND($C76="Hito",AS$8&gt;=$F76,AS$8&lt;=$F76+$G76-1),1,""))</f>
        <v/>
      </c>
      <c r="AT76" s="5" t="str">
        <f ca="1">IF(AND($C76="Objetivo",AT$8&gt;=$F76,AT$8&lt;=$F76+$G76-1),2,IF(AND($C76="Hito",AT$8&gt;=$F76,AT$8&lt;=$F76+$G76-1),1,""))</f>
        <v/>
      </c>
      <c r="AU76" s="5" t="str">
        <f ca="1">IF(AND($C76="Objetivo",AU$8&gt;=$F76,AU$8&lt;=$F76+$G76-1),2,IF(AND($C76="Hito",AU$8&gt;=$F76,AU$8&lt;=$F76+$G76-1),1,""))</f>
        <v/>
      </c>
      <c r="AV76" s="5" t="str">
        <f ca="1">IF(AND($C76="Objetivo",AV$8&gt;=$F76,AV$8&lt;=$F76+$G76-1),2,IF(AND($C76="Hito",AV$8&gt;=$F76,AV$8&lt;=$F76+$G76-1),1,""))</f>
        <v/>
      </c>
      <c r="AW76" s="5" t="str">
        <f ca="1">IF(AND($C76="Objetivo",AW$8&gt;=$F76,AW$8&lt;=$F76+$G76-1),2,IF(AND($C76="Hito",AW$8&gt;=$F76,AW$8&lt;=$F76+$G76-1),1,""))</f>
        <v/>
      </c>
      <c r="AX76" s="5" t="str">
        <f ca="1">IF(AND($C76="Objetivo",AX$8&gt;=$F76,AX$8&lt;=$F76+$G76-1),2,IF(AND($C76="Hito",AX$8&gt;=$F76,AX$8&lt;=$F76+$G76-1),1,""))</f>
        <v/>
      </c>
      <c r="AY76" s="5" t="str">
        <f ca="1">IF(AND($C76="Objetivo",AY$8&gt;=$F76,AY$8&lt;=$F76+$G76-1),2,IF(AND($C76="Hito",AY$8&gt;=$F76,AY$8&lt;=$F76+$G76-1),1,""))</f>
        <v/>
      </c>
      <c r="AZ76" s="5" t="str">
        <f ca="1">IF(AND($C76="Objetivo",AZ$8&gt;=$F76,AZ$8&lt;=$F76+$G76-1),2,IF(AND($C76="Hito",AZ$8&gt;=$F76,AZ$8&lt;=$F76+$G76-1),1,""))</f>
        <v/>
      </c>
      <c r="BA76" s="5" t="str">
        <f ca="1">IF(AND($C76="Objetivo",BA$8&gt;=$F76,BA$8&lt;=$F76+$G76-1),2,IF(AND($C76="Hito",BA$8&gt;=$F76,BA$8&lt;=$F76+$G76-1),1,""))</f>
        <v/>
      </c>
      <c r="BB76" s="5" t="str">
        <f ca="1">IF(AND($C76="Objetivo",BB$8&gt;=$F76,BB$8&lt;=$F76+$G76-1),2,IF(AND($C76="Hito",BB$8&gt;=$F76,BB$8&lt;=$F76+$G76-1),1,""))</f>
        <v/>
      </c>
      <c r="BC76" s="5" t="str">
        <f ca="1">IF(AND($C76="Objetivo",BC$8&gt;=$F76,BC$8&lt;=$F76+$G76-1),2,IF(AND($C76="Hito",BC$8&gt;=$F76,BC$8&lt;=$F76+$G76-1),1,""))</f>
        <v/>
      </c>
      <c r="BD76" s="5" t="str">
        <f ca="1">IF(AND($C76="Objetivo",BD$8&gt;=$F76,BD$8&lt;=$F76+$G76-1),2,IF(AND($C76="Hito",BD$8&gt;=$F76,BD$8&lt;=$F76+$G76-1),1,""))</f>
        <v/>
      </c>
      <c r="BE76" s="5" t="str">
        <f ca="1">IF(AND($C76="Objetivo",BE$8&gt;=$F76,BE$8&lt;=$F76+$G76-1),2,IF(AND($C76="Hito",BE$8&gt;=$F76,BE$8&lt;=$F76+$G76-1),1,""))</f>
        <v/>
      </c>
      <c r="BF76" s="5" t="str">
        <f ca="1">IF(AND($C76="Objetivo",BF$8&gt;=$F76,BF$8&lt;=$F76+$G76-1),2,IF(AND($C76="Hito",BF$8&gt;=$F76,BF$8&lt;=$F76+$G76-1),1,""))</f>
        <v/>
      </c>
      <c r="BG76" s="5" t="str">
        <f ca="1">IF(AND($C76="Objetivo",BG$8&gt;=$F76,BG$8&lt;=$F76+$G76-1),2,IF(AND($C76="Hito",BG$8&gt;=$F76,BG$8&lt;=$F76+$G76-1),1,""))</f>
        <v/>
      </c>
      <c r="BH76" s="5" t="str">
        <f ca="1">IF(AND($C76="Objetivo",BH$8&gt;=$F76,BH$8&lt;=$F76+$G76-1),2,IF(AND($C76="Hito",BH$8&gt;=$F76,BH$8&lt;=$F76+$G76-1),1,""))</f>
        <v/>
      </c>
      <c r="BI76" s="5" t="str">
        <f ca="1">IF(AND($C76="Objetivo",BI$8&gt;=$F76,BI$8&lt;=$F76+$G76-1),2,IF(AND($C76="Hito",BI$8&gt;=$F76,BI$8&lt;=$F76+$G76-1),1,""))</f>
        <v/>
      </c>
      <c r="BJ76" s="5" t="str">
        <f ca="1">IF(AND($C76="Objetivo",BJ$8&gt;=$F76,BJ$8&lt;=$F76+$G76-1),2,IF(AND($C76="Hito",BJ$8&gt;=$F76,BJ$8&lt;=$F76+$G76-1),1,""))</f>
        <v/>
      </c>
      <c r="BK76" s="5" t="str">
        <f ca="1">IF(AND($C76="Objetivo",BK$8&gt;=$F76,BK$8&lt;=$F76+$G76-1),2,IF(AND($C76="Hito",BK$8&gt;=$F76,BK$8&lt;=$F76+$G76-1),1,""))</f>
        <v/>
      </c>
      <c r="BL76" s="5" t="str">
        <f ca="1">IF(AND($C76="Objetivo",BL$8&gt;=$F76,BL$8&lt;=$F76+$G76-1),2,IF(AND($C76="Hito",BL$8&gt;=$F76,BL$8&lt;=$F76+$G76-1),1,""))</f>
        <v/>
      </c>
      <c r="BM76" s="5" t="str">
        <f ca="1">IF(AND($C76="Objetivo",BM$8&gt;=$F76,BM$8&lt;=$F76+$G76-1),2,IF(AND($C76="Hito",BM$8&gt;=$F76,BM$8&lt;=$F76+$G76-1),1,""))</f>
        <v/>
      </c>
      <c r="BN76" s="5" t="str">
        <f ca="1">IF(AND($C76="Objetivo",BN$8&gt;=$F76,BN$8&lt;=$F76+$G76-1),2,IF(AND($C76="Hito",BN$8&gt;=$F76,BN$8&lt;=$F76+$G76-1),1,""))</f>
        <v/>
      </c>
      <c r="BO76" s="5" t="str">
        <f ca="1">IF(AND($C76="Objetivo",BO$8&gt;=$F76,BO$8&lt;=$F76+$G76-1),2,IF(AND($C76="Hito",BO$8&gt;=$F76,BO$8&lt;=$F76+$G76-1),1,""))</f>
        <v/>
      </c>
      <c r="BP76" s="5" t="str">
        <f ca="1">IF(AND($C76="Objetivo",BP$8&gt;=$F76,BP$8&lt;=$F76+$G76-1),2,IF(AND($C76="Hito",BP$8&gt;=$F76,BP$8&lt;=$F76+$G76-1),1,""))</f>
        <v/>
      </c>
      <c r="BQ76" s="5" t="str">
        <f ca="1">IF(AND($C76="Objetivo",BQ$8&gt;=$F76,BQ$8&lt;=$F76+$G76-1),2,IF(AND($C76="Hito",BQ$8&gt;=$F76,BQ$8&lt;=$F76+$G76-1),1,""))</f>
        <v/>
      </c>
      <c r="BR76" s="5" t="str">
        <f ca="1">IF(AND($C76="Objetivo",BR$8&gt;=$F76,BR$8&lt;=$F76+$G76-1),2,IF(AND($C76="Hito",BR$8&gt;=$F76,BR$8&lt;=$F76+$G76-1),1,""))</f>
        <v/>
      </c>
      <c r="BS76" s="5" t="str">
        <f ca="1">IF(AND($C76="Objetivo",BS$8&gt;=$F76,BS$8&lt;=$F76+$G76-1),2,IF(AND($C76="Hito",BS$8&gt;=$F76,BS$8&lt;=$F76+$G76-1),1,""))</f>
        <v/>
      </c>
      <c r="BT76" s="5" t="str">
        <f ca="1">IF(AND($C76="Objetivo",BT$8&gt;=$F76,BT$8&lt;=$F76+$G76-1),2,IF(AND($C76="Hito",BT$8&gt;=$F76,BT$8&lt;=$F76+$G76-1),1,""))</f>
        <v/>
      </c>
      <c r="BU76" s="5" t="str">
        <f ca="1">IF(AND($C76="Objetivo",BU$8&gt;=$F76,BU$8&lt;=$F76+$G76-1),2,IF(AND($C76="Hito",BU$8&gt;=$F76,BU$8&lt;=$F76+$G76-1),1,""))</f>
        <v/>
      </c>
      <c r="BV76" s="5" t="str">
        <f ca="1">IF(AND($C76="Objetivo",BV$8&gt;=$F76,BV$8&lt;=$F76+$G76-1),2,IF(AND($C76="Hito",BV$8&gt;=$F76,BV$8&lt;=$F76+$G76-1),1,""))</f>
        <v/>
      </c>
      <c r="BW76" s="5" t="str">
        <f ca="1">IF(AND($C76="Objetivo",BW$8&gt;=$F76,BW$8&lt;=$F76+$G76-1),2,IF(AND($C76="Hito",BW$8&gt;=$F76,BW$8&lt;=$F76+$G76-1),1,""))</f>
        <v/>
      </c>
      <c r="BX76" s="5" t="str">
        <f ca="1">IF(AND($C76="Objetivo",BX$8&gt;=$F76,BX$8&lt;=$F76+$G76-1),2,IF(AND($C76="Hito",BX$8&gt;=$F76,BX$8&lt;=$F76+$G76-1),1,""))</f>
        <v/>
      </c>
      <c r="BY76" s="5" t="str">
        <f ca="1">IF(AND($C76="Objetivo",BY$8&gt;=$F76,BY$8&lt;=$F76+$G76-1),2,IF(AND($C76="Hito",BY$8&gt;=$F76,BY$8&lt;=$F76+$G76-1),1,""))</f>
        <v/>
      </c>
      <c r="BZ76" s="5" t="str">
        <f ca="1">IF(AND($C76="Objetivo",BZ$8&gt;=$F76,BZ$8&lt;=$F76+$G76-1),2,IF(AND($C76="Hito",BZ$8&gt;=$F76,BZ$8&lt;=$F76+$G76-1),1,""))</f>
        <v/>
      </c>
      <c r="CA76" s="5" t="str">
        <f ca="1">IF(AND($C76="Objetivo",CA$8&gt;=$F76,CA$8&lt;=$F76+$G76-1),2,IF(AND($C76="Hito",CA$8&gt;=$F76,CA$8&lt;=$F76+$G76-1),1,""))</f>
        <v/>
      </c>
      <c r="CB76" s="5" t="str">
        <f ca="1">IF(AND($C76="Objetivo",CB$8&gt;=$F76,CB$8&lt;=$F76+$G76-1),2,IF(AND($C76="Hito",CB$8&gt;=$F76,CB$8&lt;=$F76+$G76-1),1,""))</f>
        <v/>
      </c>
      <c r="CC76" s="5" t="str">
        <f ca="1">IF(AND($C76="Objetivo",CC$8&gt;=$F76,CC$8&lt;=$F76+$G76-1),2,IF(AND($C76="Hito",CC$8&gt;=$F76,CC$8&lt;=$F76+$G76-1),1,""))</f>
        <v/>
      </c>
      <c r="CD76" s="5" t="str">
        <f ca="1">IF(AND($C76="Objetivo",CD$8&gt;=$F76,CD$8&lt;=$F76+$G76-1),2,IF(AND($C76="Hito",CD$8&gt;=$F76,CD$8&lt;=$F76+$G76-1),1,""))</f>
        <v/>
      </c>
      <c r="CE76" s="5" t="str">
        <f ca="1">IF(AND($C76="Objetivo",CE$8&gt;=$F76,CE$8&lt;=$F76+$G76-1),2,IF(AND($C76="Hito",CE$8&gt;=$F76,CE$8&lt;=$F76+$G76-1),1,""))</f>
        <v/>
      </c>
      <c r="CF76" s="5" t="str">
        <f ca="1">IF(AND($C76="Objetivo",CF$8&gt;=$F76,CF$8&lt;=$F76+$G76-1),2,IF(AND($C76="Hito",CF$8&gt;=$F76,CF$8&lt;=$F76+$G76-1),1,""))</f>
        <v/>
      </c>
      <c r="CG76" s="5" t="str">
        <f ca="1">IF(AND($C76="Objetivo",CG$8&gt;=$F76,CG$8&lt;=$F76+$G76-1),2,IF(AND($C76="Hito",CG$8&gt;=$F76,CG$8&lt;=$F76+$G76-1),1,""))</f>
        <v/>
      </c>
      <c r="CH76" s="5" t="str">
        <f ca="1">IF(AND($C76="Objetivo",CH$8&gt;=$F76,CH$8&lt;=$F76+$G76-1),2,IF(AND($C76="Hito",CH$8&gt;=$F76,CH$8&lt;=$F76+$G76-1),1,""))</f>
        <v/>
      </c>
      <c r="CI76" s="5" t="str">
        <f ca="1">IF(AND($C76="Objetivo",CI$8&gt;=$F76,CI$8&lt;=$F76+$G76-1),2,IF(AND($C76="Hito",CI$8&gt;=$F76,CI$8&lt;=$F76+$G76-1),1,""))</f>
        <v/>
      </c>
      <c r="CJ76" s="5" t="str">
        <f ca="1">IF(AND($C76="Objetivo",CJ$8&gt;=$F76,CJ$8&lt;=$F76+$G76-1),2,IF(AND($C76="Hito",CJ$8&gt;=$F76,CJ$8&lt;=$F76+$G76-1),1,""))</f>
        <v/>
      </c>
      <c r="CK76" s="5" t="str">
        <f ca="1">IF(AND($C76="Objetivo",CK$8&gt;=$F76,CK$8&lt;=$F76+$G76-1),2,IF(AND($C76="Hito",CK$8&gt;=$F76,CK$8&lt;=$F76+$G76-1),1,""))</f>
        <v/>
      </c>
      <c r="CL76" s="5" t="str">
        <f ca="1">IF(AND($C76="Objetivo",CL$8&gt;=$F76,CL$8&lt;=$F76+$G76-1),2,IF(AND($C76="Hito",CL$8&gt;=$F76,CL$8&lt;=$F76+$G76-1),1,""))</f>
        <v/>
      </c>
      <c r="CM76" s="5" t="str">
        <f ca="1">IF(AND($C76="Objetivo",CM$8&gt;=$F76,CM$8&lt;=$F76+$G76-1),2,IF(AND($C76="Hito",CM$8&gt;=$F76,CM$8&lt;=$F76+$G76-1),1,""))</f>
        <v/>
      </c>
      <c r="CN76" s="5" t="str">
        <f ca="1">IF(AND($C76="Objetivo",CN$8&gt;=$F76,CN$8&lt;=$F76+$G76-1),2,IF(AND($C76="Hito",CN$8&gt;=$F76,CN$8&lt;=$F76+$G76-1),1,""))</f>
        <v/>
      </c>
      <c r="CO76" s="5" t="str">
        <f ca="1">IF(AND($C76="Objetivo",CO$8&gt;=$F76,CO$8&lt;=$F76+$G76-1),2,IF(AND($C76="Hito",CO$8&gt;=$F76,CO$8&lt;=$F76+$G76-1),1,""))</f>
        <v/>
      </c>
      <c r="CP76" s="5" t="str">
        <f ca="1">IF(AND($C76="Objetivo",CP$8&gt;=$F76,CP$8&lt;=$F76+$G76-1),2,IF(AND($C76="Hito",CP$8&gt;=$F76,CP$8&lt;=$F76+$G76-1),1,""))</f>
        <v/>
      </c>
      <c r="CQ76" s="5" t="str">
        <f ca="1">IF(AND($C76="Objetivo",CQ$8&gt;=$F76,CQ$8&lt;=$F76+$G76-1),2,IF(AND($C76="Hito",CQ$8&gt;=$F76,CQ$8&lt;=$F76+$G76-1),1,""))</f>
        <v/>
      </c>
      <c r="CR76" s="5" t="str">
        <f ca="1">IF(AND($C76="Objetivo",CR$8&gt;=$F76,CR$8&lt;=$F76+$G76-1),2,IF(AND($C76="Hito",CR$8&gt;=$F76,CR$8&lt;=$F76+$G76-1),1,""))</f>
        <v/>
      </c>
      <c r="CS76" s="5" t="str">
        <f ca="1">IF(AND($C76="Objetivo",CS$8&gt;=$F76,CS$8&lt;=$F76+$G76-1),2,IF(AND($C76="Hito",CS$8&gt;=$F76,CS$8&lt;=$F76+$G76-1),1,""))</f>
        <v/>
      </c>
      <c r="CT76" s="5" t="str">
        <f ca="1">IF(AND($C76="Objetivo",CT$8&gt;=$F76,CT$8&lt;=$F76+$G76-1),2,IF(AND($C76="Hito",CT$8&gt;=$F76,CT$8&lt;=$F76+$G76-1),1,""))</f>
        <v/>
      </c>
      <c r="CU76" s="5" t="str">
        <f ca="1">IF(AND($C76="Objetivo",CU$8&gt;=$F76,CU$8&lt;=$F76+$G76-1),2,IF(AND($C76="Hito",CU$8&gt;=$F76,CU$8&lt;=$F76+$G76-1),1,""))</f>
        <v/>
      </c>
      <c r="CV76" s="5" t="str">
        <f ca="1">IF(AND($C76="Objetivo",CV$8&gt;=$F76,CV$8&lt;=$F76+$G76-1),2,IF(AND($C76="Hito",CV$8&gt;=$F76,CV$8&lt;=$F76+$G76-1),1,""))</f>
        <v/>
      </c>
      <c r="CW76" s="5" t="str">
        <f ca="1">IF(AND($C76="Objetivo",CW$8&gt;=$F76,CW$8&lt;=$F76+$G76-1),2,IF(AND($C76="Hito",CW$8&gt;=$F76,CW$8&lt;=$F76+$G76-1),1,""))</f>
        <v/>
      </c>
      <c r="CX76" s="5" t="str">
        <f ca="1">IF(AND($C76="Objetivo",CX$8&gt;=$F76,CX$8&lt;=$F76+$G76-1),2,IF(AND($C76="Hito",CX$8&gt;=$F76,CX$8&lt;=$F76+$G76-1),1,""))</f>
        <v/>
      </c>
      <c r="CY76" s="5" t="str">
        <f ca="1">IF(AND($C76="Objetivo",CY$8&gt;=$F76,CY$8&lt;=$F76+$G76-1),2,IF(AND($C76="Hito",CY$8&gt;=$F76,CY$8&lt;=$F76+$G76-1),1,""))</f>
        <v/>
      </c>
      <c r="CZ76" s="5" t="str">
        <f ca="1">IF(AND($C76="Objetivo",CZ$8&gt;=$F76,CZ$8&lt;=$F76+$G76-1),2,IF(AND($C76="Hito",CZ$8&gt;=$F76,CZ$8&lt;=$F76+$G76-1),1,""))</f>
        <v/>
      </c>
      <c r="DA76" s="5" t="str">
        <f ca="1">IF(AND($C76="Objetivo",DA$8&gt;=$F76,DA$8&lt;=$F76+$G76-1),2,IF(AND($C76="Hito",DA$8&gt;=$F76,DA$8&lt;=$F76+$G76-1),1,""))</f>
        <v/>
      </c>
      <c r="DB76" s="5" t="str">
        <f ca="1">IF(AND($C76="Objetivo",DB$8&gt;=$F76,DB$8&lt;=$F76+$G76-1),2,IF(AND($C76="Hito",DB$8&gt;=$F76,DB$8&lt;=$F76+$G76-1),1,""))</f>
        <v/>
      </c>
    </row>
    <row r="77" spans="2:106" ht="30" customHeight="1" x14ac:dyDescent="0.25">
      <c r="B77" s="41"/>
      <c r="C77" s="34"/>
      <c r="D77" s="34"/>
      <c r="E77" s="50"/>
      <c r="F77" s="40"/>
      <c r="G77" s="57"/>
      <c r="H77" s="29"/>
      <c r="I77" s="29"/>
      <c r="K77" s="5" t="str">
        <f ca="1">IF(AND($C77="Objetivo",K$8&gt;=$F77,K$8&lt;=$F77+$G77-1),2,IF(AND($C77="Hito",K$8&gt;=$F77,K$8&lt;=$F77+$G77-1),1,""))</f>
        <v/>
      </c>
      <c r="L77" s="5" t="str">
        <f ca="1">IF(AND($C77="Objetivo",L$8&gt;=$F77,L$8&lt;=$F77+$G77-1),2,IF(AND($C77="Hito",L$8&gt;=$F77,L$8&lt;=$F77+$G77-1),1,""))</f>
        <v/>
      </c>
      <c r="M77" s="5" t="str">
        <f ca="1">IF(AND($C77="Objetivo",M$8&gt;=$F77,M$8&lt;=$F77+$G77-1),2,IF(AND($C77="Hito",M$8&gt;=$F77,M$8&lt;=$F77+$G77-1),1,""))</f>
        <v/>
      </c>
      <c r="N77" s="5" t="str">
        <f ca="1">IF(AND($C77="Objetivo",N$8&gt;=$F77,N$8&lt;=$F77+$G77-1),2,IF(AND($C77="Hito",N$8&gt;=$F77,N$8&lt;=$F77+$G77-1),1,""))</f>
        <v/>
      </c>
      <c r="O77" s="5" t="str">
        <f ca="1">IF(AND($C77="Objetivo",O$8&gt;=$F77,O$8&lt;=$F77+$G77-1),2,IF(AND($C77="Hito",O$8&gt;=$F77,O$8&lt;=$F77+$G77-1),1,""))</f>
        <v/>
      </c>
      <c r="P77" s="5" t="str">
        <f ca="1">IF(AND($C77="Objetivo",P$8&gt;=$F77,P$8&lt;=$F77+$G77-1),2,IF(AND($C77="Hito",P$8&gt;=$F77,P$8&lt;=$F77+$G77-1),1,""))</f>
        <v/>
      </c>
      <c r="Q77" s="5" t="str">
        <f ca="1">IF(AND($C77="Objetivo",Q$8&gt;=$F77,Q$8&lt;=$F77+$G77-1),2,IF(AND($C77="Hito",Q$8&gt;=$F77,Q$8&lt;=$F77+$G77-1),1,""))</f>
        <v/>
      </c>
      <c r="R77" s="5" t="str">
        <f ca="1">IF(AND($C77="Objetivo",R$8&gt;=$F77,R$8&lt;=$F77+$G77-1),2,IF(AND($C77="Hito",R$8&gt;=$F77,R$8&lt;=$F77+$G77-1),1,""))</f>
        <v/>
      </c>
      <c r="S77" s="5" t="str">
        <f ca="1">IF(AND($C77="Objetivo",S$8&gt;=$F77,S$8&lt;=$F77+$G77-1),2,IF(AND($C77="Hito",S$8&gt;=$F77,S$8&lt;=$F77+$G77-1),1,""))</f>
        <v/>
      </c>
      <c r="T77" s="5" t="str">
        <f ca="1">IF(AND($C77="Objetivo",T$8&gt;=$F77,T$8&lt;=$F77+$G77-1),2,IF(AND($C77="Hito",T$8&gt;=$F77,T$8&lt;=$F77+$G77-1),1,""))</f>
        <v/>
      </c>
      <c r="U77" s="5" t="str">
        <f ca="1">IF(AND($C77="Objetivo",U$8&gt;=$F77,U$8&lt;=$F77+$G77-1),2,IF(AND($C77="Hito",U$8&gt;=$F77,U$8&lt;=$F77+$G77-1),1,""))</f>
        <v/>
      </c>
      <c r="V77" s="5" t="str">
        <f ca="1">IF(AND($C77="Objetivo",V$8&gt;=$F77,V$8&lt;=$F77+$G77-1),2,IF(AND($C77="Hito",V$8&gt;=$F77,V$8&lt;=$F77+$G77-1),1,""))</f>
        <v/>
      </c>
      <c r="W77" s="5" t="str">
        <f ca="1">IF(AND($C77="Objetivo",W$8&gt;=$F77,W$8&lt;=$F77+$G77-1),2,IF(AND($C77="Hito",W$8&gt;=$F77,W$8&lt;=$F77+$G77-1),1,""))</f>
        <v/>
      </c>
      <c r="X77" s="5" t="str">
        <f ca="1">IF(AND($C77="Objetivo",X$8&gt;=$F77,X$8&lt;=$F77+$G77-1),2,IF(AND($C77="Hito",X$8&gt;=$F77,X$8&lt;=$F77+$G77-1),1,""))</f>
        <v/>
      </c>
      <c r="Y77" s="5" t="str">
        <f ca="1">IF(AND($C77="Objetivo",Y$8&gt;=$F77,Y$8&lt;=$F77+$G77-1),2,IF(AND($C77="Hito",Y$8&gt;=$F77,Y$8&lt;=$F77+$G77-1),1,""))</f>
        <v/>
      </c>
      <c r="Z77" s="5" t="str">
        <f ca="1">IF(AND($C77="Objetivo",Z$8&gt;=$F77,Z$8&lt;=$F77+$G77-1),2,IF(AND($C77="Hito",Z$8&gt;=$F77,Z$8&lt;=$F77+$G77-1),1,""))</f>
        <v/>
      </c>
      <c r="AA77" s="5" t="str">
        <f ca="1">IF(AND($C77="Objetivo",AA$8&gt;=$F77,AA$8&lt;=$F77+$G77-1),2,IF(AND($C77="Hito",AA$8&gt;=$F77,AA$8&lt;=$F77+$G77-1),1,""))</f>
        <v/>
      </c>
      <c r="AB77" s="5" t="str">
        <f ca="1">IF(AND($C77="Objetivo",AB$8&gt;=$F77,AB$8&lt;=$F77+$G77-1),2,IF(AND($C77="Hito",AB$8&gt;=$F77,AB$8&lt;=$F77+$G77-1),1,""))</f>
        <v/>
      </c>
      <c r="AC77" s="5" t="str">
        <f ca="1">IF(AND($C77="Objetivo",AC$8&gt;=$F77,AC$8&lt;=$F77+$G77-1),2,IF(AND($C77="Hito",AC$8&gt;=$F77,AC$8&lt;=$F77+$G77-1),1,""))</f>
        <v/>
      </c>
      <c r="AD77" s="5" t="str">
        <f ca="1">IF(AND($C77="Objetivo",AD$8&gt;=$F77,AD$8&lt;=$F77+$G77-1),2,IF(AND($C77="Hito",AD$8&gt;=$F77,AD$8&lt;=$F77+$G77-1),1,""))</f>
        <v/>
      </c>
      <c r="AE77" s="5" t="str">
        <f ca="1">IF(AND($C77="Objetivo",AE$8&gt;=$F77,AE$8&lt;=$F77+$G77-1),2,IF(AND($C77="Hito",AE$8&gt;=$F77,AE$8&lt;=$F77+$G77-1),1,""))</f>
        <v/>
      </c>
      <c r="AF77" s="5" t="str">
        <f ca="1">IF(AND($C77="Objetivo",AF$8&gt;=$F77,AF$8&lt;=$F77+$G77-1),2,IF(AND($C77="Hito",AF$8&gt;=$F77,AF$8&lt;=$F77+$G77-1),1,""))</f>
        <v/>
      </c>
      <c r="AG77" s="5" t="str">
        <f ca="1">IF(AND($C77="Objetivo",AG$8&gt;=$F77,AG$8&lt;=$F77+$G77-1),2,IF(AND($C77="Hito",AG$8&gt;=$F77,AG$8&lt;=$F77+$G77-1),1,""))</f>
        <v/>
      </c>
      <c r="AH77" s="5" t="str">
        <f ca="1">IF(AND($C77="Objetivo",AH$8&gt;=$F77,AH$8&lt;=$F77+$G77-1),2,IF(AND($C77="Hito",AH$8&gt;=$F77,AH$8&lt;=$F77+$G77-1),1,""))</f>
        <v/>
      </c>
      <c r="AI77" s="5" t="str">
        <f ca="1">IF(AND($C77="Objetivo",AI$8&gt;=$F77,AI$8&lt;=$F77+$G77-1),2,IF(AND($C77="Hito",AI$8&gt;=$F77,AI$8&lt;=$F77+$G77-1),1,""))</f>
        <v/>
      </c>
      <c r="AJ77" s="5" t="str">
        <f ca="1">IF(AND($C77="Objetivo",AJ$8&gt;=$F77,AJ$8&lt;=$F77+$G77-1),2,IF(AND($C77="Hito",AJ$8&gt;=$F77,AJ$8&lt;=$F77+$G77-1),1,""))</f>
        <v/>
      </c>
      <c r="AK77" s="5" t="str">
        <f ca="1">IF(AND($C77="Objetivo",AK$8&gt;=$F77,AK$8&lt;=$F77+$G77-1),2,IF(AND($C77="Hito",AK$8&gt;=$F77,AK$8&lt;=$F77+$G77-1),1,""))</f>
        <v/>
      </c>
      <c r="AL77" s="5" t="str">
        <f ca="1">IF(AND($C77="Objetivo",AL$8&gt;=$F77,AL$8&lt;=$F77+$G77-1),2,IF(AND($C77="Hito",AL$8&gt;=$F77,AL$8&lt;=$F77+$G77-1),1,""))</f>
        <v/>
      </c>
      <c r="AM77" s="5" t="str">
        <f ca="1">IF(AND($C77="Objetivo",AM$8&gt;=$F77,AM$8&lt;=$F77+$G77-1),2,IF(AND($C77="Hito",AM$8&gt;=$F77,AM$8&lt;=$F77+$G77-1),1,""))</f>
        <v/>
      </c>
      <c r="AN77" s="5" t="str">
        <f ca="1">IF(AND($C77="Objetivo",AN$8&gt;=$F77,AN$8&lt;=$F77+$G77-1),2,IF(AND($C77="Hito",AN$8&gt;=$F77,AN$8&lt;=$F77+$G77-1),1,""))</f>
        <v/>
      </c>
      <c r="AO77" s="5" t="str">
        <f ca="1">IF(AND($C77="Objetivo",AO$8&gt;=$F77,AO$8&lt;=$F77+$G77-1),2,IF(AND($C77="Hito",AO$8&gt;=$F77,AO$8&lt;=$F77+$G77-1),1,""))</f>
        <v/>
      </c>
      <c r="AP77" s="5" t="str">
        <f ca="1">IF(AND($C77="Objetivo",AP$8&gt;=$F77,AP$8&lt;=$F77+$G77-1),2,IF(AND($C77="Hito",AP$8&gt;=$F77,AP$8&lt;=$F77+$G77-1),1,""))</f>
        <v/>
      </c>
      <c r="AQ77" s="5" t="str">
        <f ca="1">IF(AND($C77="Objetivo",AQ$8&gt;=$F77,AQ$8&lt;=$F77+$G77-1),2,IF(AND($C77="Hito",AQ$8&gt;=$F77,AQ$8&lt;=$F77+$G77-1),1,""))</f>
        <v/>
      </c>
      <c r="AR77" s="5" t="str">
        <f ca="1">IF(AND($C77="Objetivo",AR$8&gt;=$F77,AR$8&lt;=$F77+$G77-1),2,IF(AND($C77="Hito",AR$8&gt;=$F77,AR$8&lt;=$F77+$G77-1),1,""))</f>
        <v/>
      </c>
      <c r="AS77" s="5" t="str">
        <f ca="1">IF(AND($C77="Objetivo",AS$8&gt;=$F77,AS$8&lt;=$F77+$G77-1),2,IF(AND($C77="Hito",AS$8&gt;=$F77,AS$8&lt;=$F77+$G77-1),1,""))</f>
        <v/>
      </c>
      <c r="AT77" s="5" t="str">
        <f ca="1">IF(AND($C77="Objetivo",AT$8&gt;=$F77,AT$8&lt;=$F77+$G77-1),2,IF(AND($C77="Hito",AT$8&gt;=$F77,AT$8&lt;=$F77+$G77-1),1,""))</f>
        <v/>
      </c>
      <c r="AU77" s="5" t="str">
        <f ca="1">IF(AND($C77="Objetivo",AU$8&gt;=$F77,AU$8&lt;=$F77+$G77-1),2,IF(AND($C77="Hito",AU$8&gt;=$F77,AU$8&lt;=$F77+$G77-1),1,""))</f>
        <v/>
      </c>
      <c r="AV77" s="5" t="str">
        <f ca="1">IF(AND($C77="Objetivo",AV$8&gt;=$F77,AV$8&lt;=$F77+$G77-1),2,IF(AND($C77="Hito",AV$8&gt;=$F77,AV$8&lt;=$F77+$G77-1),1,""))</f>
        <v/>
      </c>
      <c r="AW77" s="5" t="str">
        <f ca="1">IF(AND($C77="Objetivo",AW$8&gt;=$F77,AW$8&lt;=$F77+$G77-1),2,IF(AND($C77="Hito",AW$8&gt;=$F77,AW$8&lt;=$F77+$G77-1),1,""))</f>
        <v/>
      </c>
      <c r="AX77" s="5" t="str">
        <f ca="1">IF(AND($C77="Objetivo",AX$8&gt;=$F77,AX$8&lt;=$F77+$G77-1),2,IF(AND($C77="Hito",AX$8&gt;=$F77,AX$8&lt;=$F77+$G77-1),1,""))</f>
        <v/>
      </c>
      <c r="AY77" s="5" t="str">
        <f ca="1">IF(AND($C77="Objetivo",AY$8&gt;=$F77,AY$8&lt;=$F77+$G77-1),2,IF(AND($C77="Hito",AY$8&gt;=$F77,AY$8&lt;=$F77+$G77-1),1,""))</f>
        <v/>
      </c>
      <c r="AZ77" s="5" t="str">
        <f ca="1">IF(AND($C77="Objetivo",AZ$8&gt;=$F77,AZ$8&lt;=$F77+$G77-1),2,IF(AND($C77="Hito",AZ$8&gt;=$F77,AZ$8&lt;=$F77+$G77-1),1,""))</f>
        <v/>
      </c>
      <c r="BA77" s="5" t="str">
        <f ca="1">IF(AND($C77="Objetivo",BA$8&gt;=$F77,BA$8&lt;=$F77+$G77-1),2,IF(AND($C77="Hito",BA$8&gt;=$F77,BA$8&lt;=$F77+$G77-1),1,""))</f>
        <v/>
      </c>
      <c r="BB77" s="5" t="str">
        <f ca="1">IF(AND($C77="Objetivo",BB$8&gt;=$F77,BB$8&lt;=$F77+$G77-1),2,IF(AND($C77="Hito",BB$8&gt;=$F77,BB$8&lt;=$F77+$G77-1),1,""))</f>
        <v/>
      </c>
      <c r="BC77" s="5" t="str">
        <f ca="1">IF(AND($C77="Objetivo",BC$8&gt;=$F77,BC$8&lt;=$F77+$G77-1),2,IF(AND($C77="Hito",BC$8&gt;=$F77,BC$8&lt;=$F77+$G77-1),1,""))</f>
        <v/>
      </c>
      <c r="BD77" s="5" t="str">
        <f ca="1">IF(AND($C77="Objetivo",BD$8&gt;=$F77,BD$8&lt;=$F77+$G77-1),2,IF(AND($C77="Hito",BD$8&gt;=$F77,BD$8&lt;=$F77+$G77-1),1,""))</f>
        <v/>
      </c>
      <c r="BE77" s="5" t="str">
        <f ca="1">IF(AND($C77="Objetivo",BE$8&gt;=$F77,BE$8&lt;=$F77+$G77-1),2,IF(AND($C77="Hito",BE$8&gt;=$F77,BE$8&lt;=$F77+$G77-1),1,""))</f>
        <v/>
      </c>
      <c r="BF77" s="5" t="str">
        <f ca="1">IF(AND($C77="Objetivo",BF$8&gt;=$F77,BF$8&lt;=$F77+$G77-1),2,IF(AND($C77="Hito",BF$8&gt;=$F77,BF$8&lt;=$F77+$G77-1),1,""))</f>
        <v/>
      </c>
      <c r="BG77" s="5" t="str">
        <f ca="1">IF(AND($C77="Objetivo",BG$8&gt;=$F77,BG$8&lt;=$F77+$G77-1),2,IF(AND($C77="Hito",BG$8&gt;=$F77,BG$8&lt;=$F77+$G77-1),1,""))</f>
        <v/>
      </c>
      <c r="BH77" s="5" t="str">
        <f ca="1">IF(AND($C77="Objetivo",BH$8&gt;=$F77,BH$8&lt;=$F77+$G77-1),2,IF(AND($C77="Hito",BH$8&gt;=$F77,BH$8&lt;=$F77+$G77-1),1,""))</f>
        <v/>
      </c>
      <c r="BI77" s="5" t="str">
        <f ca="1">IF(AND($C77="Objetivo",BI$8&gt;=$F77,BI$8&lt;=$F77+$G77-1),2,IF(AND($C77="Hito",BI$8&gt;=$F77,BI$8&lt;=$F77+$G77-1),1,""))</f>
        <v/>
      </c>
      <c r="BJ77" s="5" t="str">
        <f ca="1">IF(AND($C77="Objetivo",BJ$8&gt;=$F77,BJ$8&lt;=$F77+$G77-1),2,IF(AND($C77="Hito",BJ$8&gt;=$F77,BJ$8&lt;=$F77+$G77-1),1,""))</f>
        <v/>
      </c>
      <c r="BK77" s="5" t="str">
        <f ca="1">IF(AND($C77="Objetivo",BK$8&gt;=$F77,BK$8&lt;=$F77+$G77-1),2,IF(AND($C77="Hito",BK$8&gt;=$F77,BK$8&lt;=$F77+$G77-1),1,""))</f>
        <v/>
      </c>
      <c r="BL77" s="5" t="str">
        <f ca="1">IF(AND($C77="Objetivo",BL$8&gt;=$F77,BL$8&lt;=$F77+$G77-1),2,IF(AND($C77="Hito",BL$8&gt;=$F77,BL$8&lt;=$F77+$G77-1),1,""))</f>
        <v/>
      </c>
      <c r="BM77" s="5" t="str">
        <f ca="1">IF(AND($C77="Objetivo",BM$8&gt;=$F77,BM$8&lt;=$F77+$G77-1),2,IF(AND($C77="Hito",BM$8&gt;=$F77,BM$8&lt;=$F77+$G77-1),1,""))</f>
        <v/>
      </c>
      <c r="BN77" s="5" t="str">
        <f ca="1">IF(AND($C77="Objetivo",BN$8&gt;=$F77,BN$8&lt;=$F77+$G77-1),2,IF(AND($C77="Hito",BN$8&gt;=$F77,BN$8&lt;=$F77+$G77-1),1,""))</f>
        <v/>
      </c>
      <c r="BO77" s="5" t="str">
        <f ca="1">IF(AND($C77="Objetivo",BO$8&gt;=$F77,BO$8&lt;=$F77+$G77-1),2,IF(AND($C77="Hito",BO$8&gt;=$F77,BO$8&lt;=$F77+$G77-1),1,""))</f>
        <v/>
      </c>
      <c r="BP77" s="5" t="str">
        <f ca="1">IF(AND($C77="Objetivo",BP$8&gt;=$F77,BP$8&lt;=$F77+$G77-1),2,IF(AND($C77="Hito",BP$8&gt;=$F77,BP$8&lt;=$F77+$G77-1),1,""))</f>
        <v/>
      </c>
      <c r="BQ77" s="5" t="str">
        <f ca="1">IF(AND($C77="Objetivo",BQ$8&gt;=$F77,BQ$8&lt;=$F77+$G77-1),2,IF(AND($C77="Hito",BQ$8&gt;=$F77,BQ$8&lt;=$F77+$G77-1),1,""))</f>
        <v/>
      </c>
      <c r="BR77" s="5" t="str">
        <f ca="1">IF(AND($C77="Objetivo",BR$8&gt;=$F77,BR$8&lt;=$F77+$G77-1),2,IF(AND($C77="Hito",BR$8&gt;=$F77,BR$8&lt;=$F77+$G77-1),1,""))</f>
        <v/>
      </c>
      <c r="BS77" s="5" t="str">
        <f ca="1">IF(AND($C77="Objetivo",BS$8&gt;=$F77,BS$8&lt;=$F77+$G77-1),2,IF(AND($C77="Hito",BS$8&gt;=$F77,BS$8&lt;=$F77+$G77-1),1,""))</f>
        <v/>
      </c>
      <c r="BT77" s="5" t="str">
        <f ca="1">IF(AND($C77="Objetivo",BT$8&gt;=$F77,BT$8&lt;=$F77+$G77-1),2,IF(AND($C77="Hito",BT$8&gt;=$F77,BT$8&lt;=$F77+$G77-1),1,""))</f>
        <v/>
      </c>
      <c r="BU77" s="5" t="str">
        <f ca="1">IF(AND($C77="Objetivo",BU$8&gt;=$F77,BU$8&lt;=$F77+$G77-1),2,IF(AND($C77="Hito",BU$8&gt;=$F77,BU$8&lt;=$F77+$G77-1),1,""))</f>
        <v/>
      </c>
      <c r="BV77" s="5" t="str">
        <f ca="1">IF(AND($C77="Objetivo",BV$8&gt;=$F77,BV$8&lt;=$F77+$G77-1),2,IF(AND($C77="Hito",BV$8&gt;=$F77,BV$8&lt;=$F77+$G77-1),1,""))</f>
        <v/>
      </c>
      <c r="BW77" s="5" t="str">
        <f ca="1">IF(AND($C77="Objetivo",BW$8&gt;=$F77,BW$8&lt;=$F77+$G77-1),2,IF(AND($C77="Hito",BW$8&gt;=$F77,BW$8&lt;=$F77+$G77-1),1,""))</f>
        <v/>
      </c>
      <c r="BX77" s="5" t="str">
        <f ca="1">IF(AND($C77="Objetivo",BX$8&gt;=$F77,BX$8&lt;=$F77+$G77-1),2,IF(AND($C77="Hito",BX$8&gt;=$F77,BX$8&lt;=$F77+$G77-1),1,""))</f>
        <v/>
      </c>
      <c r="BY77" s="5" t="str">
        <f ca="1">IF(AND($C77="Objetivo",BY$8&gt;=$F77,BY$8&lt;=$F77+$G77-1),2,IF(AND($C77="Hito",BY$8&gt;=$F77,BY$8&lt;=$F77+$G77-1),1,""))</f>
        <v/>
      </c>
      <c r="BZ77" s="5" t="str">
        <f ca="1">IF(AND($C77="Objetivo",BZ$8&gt;=$F77,BZ$8&lt;=$F77+$G77-1),2,IF(AND($C77="Hito",BZ$8&gt;=$F77,BZ$8&lt;=$F77+$G77-1),1,""))</f>
        <v/>
      </c>
      <c r="CA77" s="5" t="str">
        <f ca="1">IF(AND($C77="Objetivo",CA$8&gt;=$F77,CA$8&lt;=$F77+$G77-1),2,IF(AND($C77="Hito",CA$8&gt;=$F77,CA$8&lt;=$F77+$G77-1),1,""))</f>
        <v/>
      </c>
      <c r="CB77" s="5" t="str">
        <f ca="1">IF(AND($C77="Objetivo",CB$8&gt;=$F77,CB$8&lt;=$F77+$G77-1),2,IF(AND($C77="Hito",CB$8&gt;=$F77,CB$8&lt;=$F77+$G77-1),1,""))</f>
        <v/>
      </c>
      <c r="CC77" s="5" t="str">
        <f ca="1">IF(AND($C77="Objetivo",CC$8&gt;=$F77,CC$8&lt;=$F77+$G77-1),2,IF(AND($C77="Hito",CC$8&gt;=$F77,CC$8&lt;=$F77+$G77-1),1,""))</f>
        <v/>
      </c>
      <c r="CD77" s="5" t="str">
        <f ca="1">IF(AND($C77="Objetivo",CD$8&gt;=$F77,CD$8&lt;=$F77+$G77-1),2,IF(AND($C77="Hito",CD$8&gt;=$F77,CD$8&lt;=$F77+$G77-1),1,""))</f>
        <v/>
      </c>
      <c r="CE77" s="5" t="str">
        <f ca="1">IF(AND($C77="Objetivo",CE$8&gt;=$F77,CE$8&lt;=$F77+$G77-1),2,IF(AND($C77="Hito",CE$8&gt;=$F77,CE$8&lt;=$F77+$G77-1),1,""))</f>
        <v/>
      </c>
      <c r="CF77" s="5" t="str">
        <f ca="1">IF(AND($C77="Objetivo",CF$8&gt;=$F77,CF$8&lt;=$F77+$G77-1),2,IF(AND($C77="Hito",CF$8&gt;=$F77,CF$8&lt;=$F77+$G77-1),1,""))</f>
        <v/>
      </c>
      <c r="CG77" s="5" t="str">
        <f ca="1">IF(AND($C77="Objetivo",CG$8&gt;=$F77,CG$8&lt;=$F77+$G77-1),2,IF(AND($C77="Hito",CG$8&gt;=$F77,CG$8&lt;=$F77+$G77-1),1,""))</f>
        <v/>
      </c>
      <c r="CH77" s="5" t="str">
        <f ca="1">IF(AND($C77="Objetivo",CH$8&gt;=$F77,CH$8&lt;=$F77+$G77-1),2,IF(AND($C77="Hito",CH$8&gt;=$F77,CH$8&lt;=$F77+$G77-1),1,""))</f>
        <v/>
      </c>
      <c r="CI77" s="5" t="str">
        <f ca="1">IF(AND($C77="Objetivo",CI$8&gt;=$F77,CI$8&lt;=$F77+$G77-1),2,IF(AND($C77="Hito",CI$8&gt;=$F77,CI$8&lt;=$F77+$G77-1),1,""))</f>
        <v/>
      </c>
      <c r="CJ77" s="5" t="str">
        <f ca="1">IF(AND($C77="Objetivo",CJ$8&gt;=$F77,CJ$8&lt;=$F77+$G77-1),2,IF(AND($C77="Hito",CJ$8&gt;=$F77,CJ$8&lt;=$F77+$G77-1),1,""))</f>
        <v/>
      </c>
      <c r="CK77" s="5" t="str">
        <f ca="1">IF(AND($C77="Objetivo",CK$8&gt;=$F77,CK$8&lt;=$F77+$G77-1),2,IF(AND($C77="Hito",CK$8&gt;=$F77,CK$8&lt;=$F77+$G77-1),1,""))</f>
        <v/>
      </c>
      <c r="CL77" s="5" t="str">
        <f ca="1">IF(AND($C77="Objetivo",CL$8&gt;=$F77,CL$8&lt;=$F77+$G77-1),2,IF(AND($C77="Hito",CL$8&gt;=$F77,CL$8&lt;=$F77+$G77-1),1,""))</f>
        <v/>
      </c>
      <c r="CM77" s="5" t="str">
        <f ca="1">IF(AND($C77="Objetivo",CM$8&gt;=$F77,CM$8&lt;=$F77+$G77-1),2,IF(AND($C77="Hito",CM$8&gt;=$F77,CM$8&lt;=$F77+$G77-1),1,""))</f>
        <v/>
      </c>
      <c r="CN77" s="5" t="str">
        <f ca="1">IF(AND($C77="Objetivo",CN$8&gt;=$F77,CN$8&lt;=$F77+$G77-1),2,IF(AND($C77="Hito",CN$8&gt;=$F77,CN$8&lt;=$F77+$G77-1),1,""))</f>
        <v/>
      </c>
      <c r="CO77" s="5" t="str">
        <f ca="1">IF(AND($C77="Objetivo",CO$8&gt;=$F77,CO$8&lt;=$F77+$G77-1),2,IF(AND($C77="Hito",CO$8&gt;=$F77,CO$8&lt;=$F77+$G77-1),1,""))</f>
        <v/>
      </c>
      <c r="CP77" s="5" t="str">
        <f ca="1">IF(AND($C77="Objetivo",CP$8&gt;=$F77,CP$8&lt;=$F77+$G77-1),2,IF(AND($C77="Hito",CP$8&gt;=$F77,CP$8&lt;=$F77+$G77-1),1,""))</f>
        <v/>
      </c>
      <c r="CQ77" s="5" t="str">
        <f ca="1">IF(AND($C77="Objetivo",CQ$8&gt;=$F77,CQ$8&lt;=$F77+$G77-1),2,IF(AND($C77="Hito",CQ$8&gt;=$F77,CQ$8&lt;=$F77+$G77-1),1,""))</f>
        <v/>
      </c>
      <c r="CR77" s="5" t="str">
        <f ca="1">IF(AND($C77="Objetivo",CR$8&gt;=$F77,CR$8&lt;=$F77+$G77-1),2,IF(AND($C77="Hito",CR$8&gt;=$F77,CR$8&lt;=$F77+$G77-1),1,""))</f>
        <v/>
      </c>
      <c r="CS77" s="5" t="str">
        <f ca="1">IF(AND($C77="Objetivo",CS$8&gt;=$F77,CS$8&lt;=$F77+$G77-1),2,IF(AND($C77="Hito",CS$8&gt;=$F77,CS$8&lt;=$F77+$G77-1),1,""))</f>
        <v/>
      </c>
      <c r="CT77" s="5" t="str">
        <f ca="1">IF(AND($C77="Objetivo",CT$8&gt;=$F77,CT$8&lt;=$F77+$G77-1),2,IF(AND($C77="Hito",CT$8&gt;=$F77,CT$8&lt;=$F77+$G77-1),1,""))</f>
        <v/>
      </c>
      <c r="CU77" s="5" t="str">
        <f ca="1">IF(AND($C77="Objetivo",CU$8&gt;=$F77,CU$8&lt;=$F77+$G77-1),2,IF(AND($C77="Hito",CU$8&gt;=$F77,CU$8&lt;=$F77+$G77-1),1,""))</f>
        <v/>
      </c>
      <c r="CV77" s="5" t="str">
        <f ca="1">IF(AND($C77="Objetivo",CV$8&gt;=$F77,CV$8&lt;=$F77+$G77-1),2,IF(AND($C77="Hito",CV$8&gt;=$F77,CV$8&lt;=$F77+$G77-1),1,""))</f>
        <v/>
      </c>
      <c r="CW77" s="5" t="str">
        <f ca="1">IF(AND($C77="Objetivo",CW$8&gt;=$F77,CW$8&lt;=$F77+$G77-1),2,IF(AND($C77="Hito",CW$8&gt;=$F77,CW$8&lt;=$F77+$G77-1),1,""))</f>
        <v/>
      </c>
      <c r="CX77" s="5" t="str">
        <f ca="1">IF(AND($C77="Objetivo",CX$8&gt;=$F77,CX$8&lt;=$F77+$G77-1),2,IF(AND($C77="Hito",CX$8&gt;=$F77,CX$8&lt;=$F77+$G77-1),1,""))</f>
        <v/>
      </c>
      <c r="CY77" s="5" t="str">
        <f ca="1">IF(AND($C77="Objetivo",CY$8&gt;=$F77,CY$8&lt;=$F77+$G77-1),2,IF(AND($C77="Hito",CY$8&gt;=$F77,CY$8&lt;=$F77+$G77-1),1,""))</f>
        <v/>
      </c>
      <c r="CZ77" s="5" t="str">
        <f ca="1">IF(AND($C77="Objetivo",CZ$8&gt;=$F77,CZ$8&lt;=$F77+$G77-1),2,IF(AND($C77="Hito",CZ$8&gt;=$F77,CZ$8&lt;=$F77+$G77-1),1,""))</f>
        <v/>
      </c>
      <c r="DA77" s="5" t="str">
        <f ca="1">IF(AND($C77="Objetivo",DA$8&gt;=$F77,DA$8&lt;=$F77+$G77-1),2,IF(AND($C77="Hito",DA$8&gt;=$F77,DA$8&lt;=$F77+$G77-1),1,""))</f>
        <v/>
      </c>
      <c r="DB77" s="5" t="str">
        <f ca="1">IF(AND($C77="Objetivo",DB$8&gt;=$F77,DB$8&lt;=$F77+$G77-1),2,IF(AND($C77="Hito",DB$8&gt;=$F77,DB$8&lt;=$F77+$G77-1),1,""))</f>
        <v/>
      </c>
    </row>
    <row r="78" spans="2:106" ht="30" customHeight="1" x14ac:dyDescent="0.25">
      <c r="B78" s="34"/>
      <c r="C78" s="34"/>
      <c r="D78" s="34"/>
      <c r="E78" s="50"/>
      <c r="F78" s="40"/>
      <c r="G78" s="57"/>
      <c r="H78" s="29"/>
      <c r="I78" s="29"/>
      <c r="K78" s="5" t="str">
        <f ca="1">IF(AND($C78="Objetivo",K$8&gt;=$F78,K$8&lt;=$F78+$G78-1),2,IF(AND($C78="Hito",K$8&gt;=$F78,K$8&lt;=$F78+$G78-1),1,""))</f>
        <v/>
      </c>
      <c r="L78" s="5" t="str">
        <f ca="1">IF(AND($C78="Objetivo",L$8&gt;=$F78,L$8&lt;=$F78+$G78-1),2,IF(AND($C78="Hito",L$8&gt;=$F78,L$8&lt;=$F78+$G78-1),1,""))</f>
        <v/>
      </c>
      <c r="M78" s="5" t="str">
        <f ca="1">IF(AND($C78="Objetivo",M$8&gt;=$F78,M$8&lt;=$F78+$G78-1),2,IF(AND($C78="Hito",M$8&gt;=$F78,M$8&lt;=$F78+$G78-1),1,""))</f>
        <v/>
      </c>
      <c r="N78" s="5" t="str">
        <f ca="1">IF(AND($C78="Objetivo",N$8&gt;=$F78,N$8&lt;=$F78+$G78-1),2,IF(AND($C78="Hito",N$8&gt;=$F78,N$8&lt;=$F78+$G78-1),1,""))</f>
        <v/>
      </c>
      <c r="O78" s="5" t="str">
        <f ca="1">IF(AND($C78="Objetivo",O$8&gt;=$F78,O$8&lt;=$F78+$G78-1),2,IF(AND($C78="Hito",O$8&gt;=$F78,O$8&lt;=$F78+$G78-1),1,""))</f>
        <v/>
      </c>
      <c r="P78" s="5" t="str">
        <f ca="1">IF(AND($C78="Objetivo",P$8&gt;=$F78,P$8&lt;=$F78+$G78-1),2,IF(AND($C78="Hito",P$8&gt;=$F78,P$8&lt;=$F78+$G78-1),1,""))</f>
        <v/>
      </c>
      <c r="Q78" s="5" t="str">
        <f ca="1">IF(AND($C78="Objetivo",Q$8&gt;=$F78,Q$8&lt;=$F78+$G78-1),2,IF(AND($C78="Hito",Q$8&gt;=$F78,Q$8&lt;=$F78+$G78-1),1,""))</f>
        <v/>
      </c>
      <c r="R78" s="5" t="str">
        <f ca="1">IF(AND($C78="Objetivo",R$8&gt;=$F78,R$8&lt;=$F78+$G78-1),2,IF(AND($C78="Hito",R$8&gt;=$F78,R$8&lt;=$F78+$G78-1),1,""))</f>
        <v/>
      </c>
      <c r="S78" s="5" t="str">
        <f ca="1">IF(AND($C78="Objetivo",S$8&gt;=$F78,S$8&lt;=$F78+$G78-1),2,IF(AND($C78="Hito",S$8&gt;=$F78,S$8&lt;=$F78+$G78-1),1,""))</f>
        <v/>
      </c>
      <c r="T78" s="5" t="str">
        <f ca="1">IF(AND($C78="Objetivo",T$8&gt;=$F78,T$8&lt;=$F78+$G78-1),2,IF(AND($C78="Hito",T$8&gt;=$F78,T$8&lt;=$F78+$G78-1),1,""))</f>
        <v/>
      </c>
      <c r="U78" s="5" t="str">
        <f ca="1">IF(AND($C78="Objetivo",U$8&gt;=$F78,U$8&lt;=$F78+$G78-1),2,IF(AND($C78="Hito",U$8&gt;=$F78,U$8&lt;=$F78+$G78-1),1,""))</f>
        <v/>
      </c>
      <c r="V78" s="5" t="str">
        <f ca="1">IF(AND($C78="Objetivo",V$8&gt;=$F78,V$8&lt;=$F78+$G78-1),2,IF(AND($C78="Hito",V$8&gt;=$F78,V$8&lt;=$F78+$G78-1),1,""))</f>
        <v/>
      </c>
      <c r="W78" s="5" t="str">
        <f ca="1">IF(AND($C78="Objetivo",W$8&gt;=$F78,W$8&lt;=$F78+$G78-1),2,IF(AND($C78="Hito",W$8&gt;=$F78,W$8&lt;=$F78+$G78-1),1,""))</f>
        <v/>
      </c>
      <c r="X78" s="5" t="str">
        <f ca="1">IF(AND($C78="Objetivo",X$8&gt;=$F78,X$8&lt;=$F78+$G78-1),2,IF(AND($C78="Hito",X$8&gt;=$F78,X$8&lt;=$F78+$G78-1),1,""))</f>
        <v/>
      </c>
      <c r="Y78" s="5" t="str">
        <f ca="1">IF(AND($C78="Objetivo",Y$8&gt;=$F78,Y$8&lt;=$F78+$G78-1),2,IF(AND($C78="Hito",Y$8&gt;=$F78,Y$8&lt;=$F78+$G78-1),1,""))</f>
        <v/>
      </c>
      <c r="Z78" s="5" t="str">
        <f ca="1">IF(AND($C78="Objetivo",Z$8&gt;=$F78,Z$8&lt;=$F78+$G78-1),2,IF(AND($C78="Hito",Z$8&gt;=$F78,Z$8&lt;=$F78+$G78-1),1,""))</f>
        <v/>
      </c>
      <c r="AA78" s="5" t="str">
        <f ca="1">IF(AND($C78="Objetivo",AA$8&gt;=$F78,AA$8&lt;=$F78+$G78-1),2,IF(AND($C78="Hito",AA$8&gt;=$F78,AA$8&lt;=$F78+$G78-1),1,""))</f>
        <v/>
      </c>
      <c r="AB78" s="5" t="str">
        <f ca="1">IF(AND($C78="Objetivo",AB$8&gt;=$F78,AB$8&lt;=$F78+$G78-1),2,IF(AND($C78="Hito",AB$8&gt;=$F78,AB$8&lt;=$F78+$G78-1),1,""))</f>
        <v/>
      </c>
      <c r="AC78" s="5" t="str">
        <f ca="1">IF(AND($C78="Objetivo",AC$8&gt;=$F78,AC$8&lt;=$F78+$G78-1),2,IF(AND($C78="Hito",AC$8&gt;=$F78,AC$8&lt;=$F78+$G78-1),1,""))</f>
        <v/>
      </c>
      <c r="AD78" s="5" t="str">
        <f ca="1">IF(AND($C78="Objetivo",AD$8&gt;=$F78,AD$8&lt;=$F78+$G78-1),2,IF(AND($C78="Hito",AD$8&gt;=$F78,AD$8&lt;=$F78+$G78-1),1,""))</f>
        <v/>
      </c>
      <c r="AE78" s="5" t="str">
        <f ca="1">IF(AND($C78="Objetivo",AE$8&gt;=$F78,AE$8&lt;=$F78+$G78-1),2,IF(AND($C78="Hito",AE$8&gt;=$F78,AE$8&lt;=$F78+$G78-1),1,""))</f>
        <v/>
      </c>
      <c r="AF78" s="5" t="str">
        <f ca="1">IF(AND($C78="Objetivo",AF$8&gt;=$F78,AF$8&lt;=$F78+$G78-1),2,IF(AND($C78="Hito",AF$8&gt;=$F78,AF$8&lt;=$F78+$G78-1),1,""))</f>
        <v/>
      </c>
      <c r="AG78" s="5" t="str">
        <f ca="1">IF(AND($C78="Objetivo",AG$8&gt;=$F78,AG$8&lt;=$F78+$G78-1),2,IF(AND($C78="Hito",AG$8&gt;=$F78,AG$8&lt;=$F78+$G78-1),1,""))</f>
        <v/>
      </c>
      <c r="AH78" s="5" t="str">
        <f ca="1">IF(AND($C78="Objetivo",AH$8&gt;=$F78,AH$8&lt;=$F78+$G78-1),2,IF(AND($C78="Hito",AH$8&gt;=$F78,AH$8&lt;=$F78+$G78-1),1,""))</f>
        <v/>
      </c>
      <c r="AI78" s="5" t="str">
        <f ca="1">IF(AND($C78="Objetivo",AI$8&gt;=$F78,AI$8&lt;=$F78+$G78-1),2,IF(AND($C78="Hito",AI$8&gt;=$F78,AI$8&lt;=$F78+$G78-1),1,""))</f>
        <v/>
      </c>
      <c r="AJ78" s="5" t="str">
        <f ca="1">IF(AND($C78="Objetivo",AJ$8&gt;=$F78,AJ$8&lt;=$F78+$G78-1),2,IF(AND($C78="Hito",AJ$8&gt;=$F78,AJ$8&lt;=$F78+$G78-1),1,""))</f>
        <v/>
      </c>
      <c r="AK78" s="5" t="str">
        <f ca="1">IF(AND($C78="Objetivo",AK$8&gt;=$F78,AK$8&lt;=$F78+$G78-1),2,IF(AND($C78="Hito",AK$8&gt;=$F78,AK$8&lt;=$F78+$G78-1),1,""))</f>
        <v/>
      </c>
      <c r="AL78" s="5" t="str">
        <f ca="1">IF(AND($C78="Objetivo",AL$8&gt;=$F78,AL$8&lt;=$F78+$G78-1),2,IF(AND($C78="Hito",AL$8&gt;=$F78,AL$8&lt;=$F78+$G78-1),1,""))</f>
        <v/>
      </c>
      <c r="AM78" s="5" t="str">
        <f ca="1">IF(AND($C78="Objetivo",AM$8&gt;=$F78,AM$8&lt;=$F78+$G78-1),2,IF(AND($C78="Hito",AM$8&gt;=$F78,AM$8&lt;=$F78+$G78-1),1,""))</f>
        <v/>
      </c>
      <c r="AN78" s="5" t="str">
        <f ca="1">IF(AND($C78="Objetivo",AN$8&gt;=$F78,AN$8&lt;=$F78+$G78-1),2,IF(AND($C78="Hito",AN$8&gt;=$F78,AN$8&lt;=$F78+$G78-1),1,""))</f>
        <v/>
      </c>
      <c r="AO78" s="5" t="str">
        <f ca="1">IF(AND($C78="Objetivo",AO$8&gt;=$F78,AO$8&lt;=$F78+$G78-1),2,IF(AND($C78="Hito",AO$8&gt;=$F78,AO$8&lt;=$F78+$G78-1),1,""))</f>
        <v/>
      </c>
      <c r="AP78" s="5" t="str">
        <f ca="1">IF(AND($C78="Objetivo",AP$8&gt;=$F78,AP$8&lt;=$F78+$G78-1),2,IF(AND($C78="Hito",AP$8&gt;=$F78,AP$8&lt;=$F78+$G78-1),1,""))</f>
        <v/>
      </c>
      <c r="AQ78" s="5" t="str">
        <f ca="1">IF(AND($C78="Objetivo",AQ$8&gt;=$F78,AQ$8&lt;=$F78+$G78-1),2,IF(AND($C78="Hito",AQ$8&gt;=$F78,AQ$8&lt;=$F78+$G78-1),1,""))</f>
        <v/>
      </c>
      <c r="AR78" s="5" t="str">
        <f ca="1">IF(AND($C78="Objetivo",AR$8&gt;=$F78,AR$8&lt;=$F78+$G78-1),2,IF(AND($C78="Hito",AR$8&gt;=$F78,AR$8&lt;=$F78+$G78-1),1,""))</f>
        <v/>
      </c>
      <c r="AS78" s="5" t="str">
        <f ca="1">IF(AND($C78="Objetivo",AS$8&gt;=$F78,AS$8&lt;=$F78+$G78-1),2,IF(AND($C78="Hito",AS$8&gt;=$F78,AS$8&lt;=$F78+$G78-1),1,""))</f>
        <v/>
      </c>
      <c r="AT78" s="5" t="str">
        <f ca="1">IF(AND($C78="Objetivo",AT$8&gt;=$F78,AT$8&lt;=$F78+$G78-1),2,IF(AND($C78="Hito",AT$8&gt;=$F78,AT$8&lt;=$F78+$G78-1),1,""))</f>
        <v/>
      </c>
      <c r="AU78" s="5" t="str">
        <f ca="1">IF(AND($C78="Objetivo",AU$8&gt;=$F78,AU$8&lt;=$F78+$G78-1),2,IF(AND($C78="Hito",AU$8&gt;=$F78,AU$8&lt;=$F78+$G78-1),1,""))</f>
        <v/>
      </c>
      <c r="AV78" s="5" t="str">
        <f ca="1">IF(AND($C78="Objetivo",AV$8&gt;=$F78,AV$8&lt;=$F78+$G78-1),2,IF(AND($C78="Hito",AV$8&gt;=$F78,AV$8&lt;=$F78+$G78-1),1,""))</f>
        <v/>
      </c>
      <c r="AW78" s="5" t="str">
        <f ca="1">IF(AND($C78="Objetivo",AW$8&gt;=$F78,AW$8&lt;=$F78+$G78-1),2,IF(AND($C78="Hito",AW$8&gt;=$F78,AW$8&lt;=$F78+$G78-1),1,""))</f>
        <v/>
      </c>
      <c r="AX78" s="5" t="str">
        <f ca="1">IF(AND($C78="Objetivo",AX$8&gt;=$F78,AX$8&lt;=$F78+$G78-1),2,IF(AND($C78="Hito",AX$8&gt;=$F78,AX$8&lt;=$F78+$G78-1),1,""))</f>
        <v/>
      </c>
      <c r="AY78" s="5" t="str">
        <f ca="1">IF(AND($C78="Objetivo",AY$8&gt;=$F78,AY$8&lt;=$F78+$G78-1),2,IF(AND($C78="Hito",AY$8&gt;=$F78,AY$8&lt;=$F78+$G78-1),1,""))</f>
        <v/>
      </c>
      <c r="AZ78" s="5" t="str">
        <f ca="1">IF(AND($C78="Objetivo",AZ$8&gt;=$F78,AZ$8&lt;=$F78+$G78-1),2,IF(AND($C78="Hito",AZ$8&gt;=$F78,AZ$8&lt;=$F78+$G78-1),1,""))</f>
        <v/>
      </c>
      <c r="BA78" s="5" t="str">
        <f ca="1">IF(AND($C78="Objetivo",BA$8&gt;=$F78,BA$8&lt;=$F78+$G78-1),2,IF(AND($C78="Hito",BA$8&gt;=$F78,BA$8&lt;=$F78+$G78-1),1,""))</f>
        <v/>
      </c>
      <c r="BB78" s="5" t="str">
        <f ca="1">IF(AND($C78="Objetivo",BB$8&gt;=$F78,BB$8&lt;=$F78+$G78-1),2,IF(AND($C78="Hito",BB$8&gt;=$F78,BB$8&lt;=$F78+$G78-1),1,""))</f>
        <v/>
      </c>
      <c r="BC78" s="5" t="str">
        <f ca="1">IF(AND($C78="Objetivo",BC$8&gt;=$F78,BC$8&lt;=$F78+$G78-1),2,IF(AND($C78="Hito",BC$8&gt;=$F78,BC$8&lt;=$F78+$G78-1),1,""))</f>
        <v/>
      </c>
      <c r="BD78" s="5" t="str">
        <f ca="1">IF(AND($C78="Objetivo",BD$8&gt;=$F78,BD$8&lt;=$F78+$G78-1),2,IF(AND($C78="Hito",BD$8&gt;=$F78,BD$8&lt;=$F78+$G78-1),1,""))</f>
        <v/>
      </c>
      <c r="BE78" s="5" t="str">
        <f ca="1">IF(AND($C78="Objetivo",BE$8&gt;=$F78,BE$8&lt;=$F78+$G78-1),2,IF(AND($C78="Hito",BE$8&gt;=$F78,BE$8&lt;=$F78+$G78-1),1,""))</f>
        <v/>
      </c>
      <c r="BF78" s="5" t="str">
        <f ca="1">IF(AND($C78="Objetivo",BF$8&gt;=$F78,BF$8&lt;=$F78+$G78-1),2,IF(AND($C78="Hito",BF$8&gt;=$F78,BF$8&lt;=$F78+$G78-1),1,""))</f>
        <v/>
      </c>
      <c r="BG78" s="5" t="str">
        <f ca="1">IF(AND($C78="Objetivo",BG$8&gt;=$F78,BG$8&lt;=$F78+$G78-1),2,IF(AND($C78="Hito",BG$8&gt;=$F78,BG$8&lt;=$F78+$G78-1),1,""))</f>
        <v/>
      </c>
      <c r="BH78" s="5" t="str">
        <f ca="1">IF(AND($C78="Objetivo",BH$8&gt;=$F78,BH$8&lt;=$F78+$G78-1),2,IF(AND($C78="Hito",BH$8&gt;=$F78,BH$8&lt;=$F78+$G78-1),1,""))</f>
        <v/>
      </c>
      <c r="BI78" s="5" t="str">
        <f ca="1">IF(AND($C78="Objetivo",BI$8&gt;=$F78,BI$8&lt;=$F78+$G78-1),2,IF(AND($C78="Hito",BI$8&gt;=$F78,BI$8&lt;=$F78+$G78-1),1,""))</f>
        <v/>
      </c>
      <c r="BJ78" s="5" t="str">
        <f ca="1">IF(AND($C78="Objetivo",BJ$8&gt;=$F78,BJ$8&lt;=$F78+$G78-1),2,IF(AND($C78="Hito",BJ$8&gt;=$F78,BJ$8&lt;=$F78+$G78-1),1,""))</f>
        <v/>
      </c>
      <c r="BK78" s="5" t="str">
        <f ca="1">IF(AND($C78="Objetivo",BK$8&gt;=$F78,BK$8&lt;=$F78+$G78-1),2,IF(AND($C78="Hito",BK$8&gt;=$F78,BK$8&lt;=$F78+$G78-1),1,""))</f>
        <v/>
      </c>
      <c r="BL78" s="5" t="str">
        <f ca="1">IF(AND($C78="Objetivo",BL$8&gt;=$F78,BL$8&lt;=$F78+$G78-1),2,IF(AND($C78="Hito",BL$8&gt;=$F78,BL$8&lt;=$F78+$G78-1),1,""))</f>
        <v/>
      </c>
      <c r="BM78" s="5" t="str">
        <f ca="1">IF(AND($C78="Objetivo",BM$8&gt;=$F78,BM$8&lt;=$F78+$G78-1),2,IF(AND($C78="Hito",BM$8&gt;=$F78,BM$8&lt;=$F78+$G78-1),1,""))</f>
        <v/>
      </c>
      <c r="BN78" s="5" t="str">
        <f ca="1">IF(AND($C78="Objetivo",BN$8&gt;=$F78,BN$8&lt;=$F78+$G78-1),2,IF(AND($C78="Hito",BN$8&gt;=$F78,BN$8&lt;=$F78+$G78-1),1,""))</f>
        <v/>
      </c>
      <c r="BO78" s="5" t="str">
        <f ca="1">IF(AND($C78="Objetivo",BO$8&gt;=$F78,BO$8&lt;=$F78+$G78-1),2,IF(AND($C78="Hito",BO$8&gt;=$F78,BO$8&lt;=$F78+$G78-1),1,""))</f>
        <v/>
      </c>
      <c r="BP78" s="5" t="str">
        <f ca="1">IF(AND($C78="Objetivo",BP$8&gt;=$F78,BP$8&lt;=$F78+$G78-1),2,IF(AND($C78="Hito",BP$8&gt;=$F78,BP$8&lt;=$F78+$G78-1),1,""))</f>
        <v/>
      </c>
      <c r="BQ78" s="5" t="str">
        <f ca="1">IF(AND($C78="Objetivo",BQ$8&gt;=$F78,BQ$8&lt;=$F78+$G78-1),2,IF(AND($C78="Hito",BQ$8&gt;=$F78,BQ$8&lt;=$F78+$G78-1),1,""))</f>
        <v/>
      </c>
      <c r="BR78" s="5" t="str">
        <f ca="1">IF(AND($C78="Objetivo",BR$8&gt;=$F78,BR$8&lt;=$F78+$G78-1),2,IF(AND($C78="Hito",BR$8&gt;=$F78,BR$8&lt;=$F78+$G78-1),1,""))</f>
        <v/>
      </c>
      <c r="BS78" s="5" t="str">
        <f ca="1">IF(AND($C78="Objetivo",BS$8&gt;=$F78,BS$8&lt;=$F78+$G78-1),2,IF(AND($C78="Hito",BS$8&gt;=$F78,BS$8&lt;=$F78+$G78-1),1,""))</f>
        <v/>
      </c>
      <c r="BT78" s="5" t="str">
        <f ca="1">IF(AND($C78="Objetivo",BT$8&gt;=$F78,BT$8&lt;=$F78+$G78-1),2,IF(AND($C78="Hito",BT$8&gt;=$F78,BT$8&lt;=$F78+$G78-1),1,""))</f>
        <v/>
      </c>
      <c r="BU78" s="5" t="str">
        <f ca="1">IF(AND($C78="Objetivo",BU$8&gt;=$F78,BU$8&lt;=$F78+$G78-1),2,IF(AND($C78="Hito",BU$8&gt;=$F78,BU$8&lt;=$F78+$G78-1),1,""))</f>
        <v/>
      </c>
      <c r="BV78" s="5" t="str">
        <f ca="1">IF(AND($C78="Objetivo",BV$8&gt;=$F78,BV$8&lt;=$F78+$G78-1),2,IF(AND($C78="Hito",BV$8&gt;=$F78,BV$8&lt;=$F78+$G78-1),1,""))</f>
        <v/>
      </c>
      <c r="BW78" s="5" t="str">
        <f ca="1">IF(AND($C78="Objetivo",BW$8&gt;=$F78,BW$8&lt;=$F78+$G78-1),2,IF(AND($C78="Hito",BW$8&gt;=$F78,BW$8&lt;=$F78+$G78-1),1,""))</f>
        <v/>
      </c>
      <c r="BX78" s="5" t="str">
        <f ca="1">IF(AND($C78="Objetivo",BX$8&gt;=$F78,BX$8&lt;=$F78+$G78-1),2,IF(AND($C78="Hito",BX$8&gt;=$F78,BX$8&lt;=$F78+$G78-1),1,""))</f>
        <v/>
      </c>
      <c r="BY78" s="5" t="str">
        <f ca="1">IF(AND($C78="Objetivo",BY$8&gt;=$F78,BY$8&lt;=$F78+$G78-1),2,IF(AND($C78="Hito",BY$8&gt;=$F78,BY$8&lt;=$F78+$G78-1),1,""))</f>
        <v/>
      </c>
      <c r="BZ78" s="5" t="str">
        <f ca="1">IF(AND($C78="Objetivo",BZ$8&gt;=$F78,BZ$8&lt;=$F78+$G78-1),2,IF(AND($C78="Hito",BZ$8&gt;=$F78,BZ$8&lt;=$F78+$G78-1),1,""))</f>
        <v/>
      </c>
      <c r="CA78" s="5" t="str">
        <f ca="1">IF(AND($C78="Objetivo",CA$8&gt;=$F78,CA$8&lt;=$F78+$G78-1),2,IF(AND($C78="Hito",CA$8&gt;=$F78,CA$8&lt;=$F78+$G78-1),1,""))</f>
        <v/>
      </c>
      <c r="CB78" s="5" t="str">
        <f ca="1">IF(AND($C78="Objetivo",CB$8&gt;=$F78,CB$8&lt;=$F78+$G78-1),2,IF(AND($C78="Hito",CB$8&gt;=$F78,CB$8&lt;=$F78+$G78-1),1,""))</f>
        <v/>
      </c>
      <c r="CC78" s="5" t="str">
        <f ca="1">IF(AND($C78="Objetivo",CC$8&gt;=$F78,CC$8&lt;=$F78+$G78-1),2,IF(AND($C78="Hito",CC$8&gt;=$F78,CC$8&lt;=$F78+$G78-1),1,""))</f>
        <v/>
      </c>
      <c r="CD78" s="5" t="str">
        <f ca="1">IF(AND($C78="Objetivo",CD$8&gt;=$F78,CD$8&lt;=$F78+$G78-1),2,IF(AND($C78="Hito",CD$8&gt;=$F78,CD$8&lt;=$F78+$G78-1),1,""))</f>
        <v/>
      </c>
      <c r="CE78" s="5" t="str">
        <f ca="1">IF(AND($C78="Objetivo",CE$8&gt;=$F78,CE$8&lt;=$F78+$G78-1),2,IF(AND($C78="Hito",CE$8&gt;=$F78,CE$8&lt;=$F78+$G78-1),1,""))</f>
        <v/>
      </c>
      <c r="CF78" s="5" t="str">
        <f ca="1">IF(AND($C78="Objetivo",CF$8&gt;=$F78,CF$8&lt;=$F78+$G78-1),2,IF(AND($C78="Hito",CF$8&gt;=$F78,CF$8&lt;=$F78+$G78-1),1,""))</f>
        <v/>
      </c>
      <c r="CG78" s="5" t="str">
        <f ca="1">IF(AND($C78="Objetivo",CG$8&gt;=$F78,CG$8&lt;=$F78+$G78-1),2,IF(AND($C78="Hito",CG$8&gt;=$F78,CG$8&lt;=$F78+$G78-1),1,""))</f>
        <v/>
      </c>
      <c r="CH78" s="5" t="str">
        <f ca="1">IF(AND($C78="Objetivo",CH$8&gt;=$F78,CH$8&lt;=$F78+$G78-1),2,IF(AND($C78="Hito",CH$8&gt;=$F78,CH$8&lt;=$F78+$G78-1),1,""))</f>
        <v/>
      </c>
      <c r="CI78" s="5" t="str">
        <f ca="1">IF(AND($C78="Objetivo",CI$8&gt;=$F78,CI$8&lt;=$F78+$G78-1),2,IF(AND($C78="Hito",CI$8&gt;=$F78,CI$8&lt;=$F78+$G78-1),1,""))</f>
        <v/>
      </c>
      <c r="CJ78" s="5" t="str">
        <f ca="1">IF(AND($C78="Objetivo",CJ$8&gt;=$F78,CJ$8&lt;=$F78+$G78-1),2,IF(AND($C78="Hito",CJ$8&gt;=$F78,CJ$8&lt;=$F78+$G78-1),1,""))</f>
        <v/>
      </c>
      <c r="CK78" s="5" t="str">
        <f ca="1">IF(AND($C78="Objetivo",CK$8&gt;=$F78,CK$8&lt;=$F78+$G78-1),2,IF(AND($C78="Hito",CK$8&gt;=$F78,CK$8&lt;=$F78+$G78-1),1,""))</f>
        <v/>
      </c>
      <c r="CL78" s="5" t="str">
        <f ca="1">IF(AND($C78="Objetivo",CL$8&gt;=$F78,CL$8&lt;=$F78+$G78-1),2,IF(AND($C78="Hito",CL$8&gt;=$F78,CL$8&lt;=$F78+$G78-1),1,""))</f>
        <v/>
      </c>
      <c r="CM78" s="5" t="str">
        <f ca="1">IF(AND($C78="Objetivo",CM$8&gt;=$F78,CM$8&lt;=$F78+$G78-1),2,IF(AND($C78="Hito",CM$8&gt;=$F78,CM$8&lt;=$F78+$G78-1),1,""))</f>
        <v/>
      </c>
      <c r="CN78" s="5" t="str">
        <f ca="1">IF(AND($C78="Objetivo",CN$8&gt;=$F78,CN$8&lt;=$F78+$G78-1),2,IF(AND($C78="Hito",CN$8&gt;=$F78,CN$8&lt;=$F78+$G78-1),1,""))</f>
        <v/>
      </c>
      <c r="CO78" s="5" t="str">
        <f ca="1">IF(AND($C78="Objetivo",CO$8&gt;=$F78,CO$8&lt;=$F78+$G78-1),2,IF(AND($C78="Hito",CO$8&gt;=$F78,CO$8&lt;=$F78+$G78-1),1,""))</f>
        <v/>
      </c>
      <c r="CP78" s="5" t="str">
        <f ca="1">IF(AND($C78="Objetivo",CP$8&gt;=$F78,CP$8&lt;=$F78+$G78-1),2,IF(AND($C78="Hito",CP$8&gt;=$F78,CP$8&lt;=$F78+$G78-1),1,""))</f>
        <v/>
      </c>
      <c r="CQ78" s="5" t="str">
        <f ca="1">IF(AND($C78="Objetivo",CQ$8&gt;=$F78,CQ$8&lt;=$F78+$G78-1),2,IF(AND($C78="Hito",CQ$8&gt;=$F78,CQ$8&lt;=$F78+$G78-1),1,""))</f>
        <v/>
      </c>
      <c r="CR78" s="5" t="str">
        <f ca="1">IF(AND($C78="Objetivo",CR$8&gt;=$F78,CR$8&lt;=$F78+$G78-1),2,IF(AND($C78="Hito",CR$8&gt;=$F78,CR$8&lt;=$F78+$G78-1),1,""))</f>
        <v/>
      </c>
      <c r="CS78" s="5" t="str">
        <f ca="1">IF(AND($C78="Objetivo",CS$8&gt;=$F78,CS$8&lt;=$F78+$G78-1),2,IF(AND($C78="Hito",CS$8&gt;=$F78,CS$8&lt;=$F78+$G78-1),1,""))</f>
        <v/>
      </c>
      <c r="CT78" s="5" t="str">
        <f ca="1">IF(AND($C78="Objetivo",CT$8&gt;=$F78,CT$8&lt;=$F78+$G78-1),2,IF(AND($C78="Hito",CT$8&gt;=$F78,CT$8&lt;=$F78+$G78-1),1,""))</f>
        <v/>
      </c>
      <c r="CU78" s="5" t="str">
        <f ca="1">IF(AND($C78="Objetivo",CU$8&gt;=$F78,CU$8&lt;=$F78+$G78-1),2,IF(AND($C78="Hito",CU$8&gt;=$F78,CU$8&lt;=$F78+$G78-1),1,""))</f>
        <v/>
      </c>
      <c r="CV78" s="5" t="str">
        <f ca="1">IF(AND($C78="Objetivo",CV$8&gt;=$F78,CV$8&lt;=$F78+$G78-1),2,IF(AND($C78="Hito",CV$8&gt;=$F78,CV$8&lt;=$F78+$G78-1),1,""))</f>
        <v/>
      </c>
      <c r="CW78" s="5" t="str">
        <f ca="1">IF(AND($C78="Objetivo",CW$8&gt;=$F78,CW$8&lt;=$F78+$G78-1),2,IF(AND($C78="Hito",CW$8&gt;=$F78,CW$8&lt;=$F78+$G78-1),1,""))</f>
        <v/>
      </c>
      <c r="CX78" s="5" t="str">
        <f ca="1">IF(AND($C78="Objetivo",CX$8&gt;=$F78,CX$8&lt;=$F78+$G78-1),2,IF(AND($C78="Hito",CX$8&gt;=$F78,CX$8&lt;=$F78+$G78-1),1,""))</f>
        <v/>
      </c>
      <c r="CY78" s="5" t="str">
        <f ca="1">IF(AND($C78="Objetivo",CY$8&gt;=$F78,CY$8&lt;=$F78+$G78-1),2,IF(AND($C78="Hito",CY$8&gt;=$F78,CY$8&lt;=$F78+$G78-1),1,""))</f>
        <v/>
      </c>
      <c r="CZ78" s="5" t="str">
        <f ca="1">IF(AND($C78="Objetivo",CZ$8&gt;=$F78,CZ$8&lt;=$F78+$G78-1),2,IF(AND($C78="Hito",CZ$8&gt;=$F78,CZ$8&lt;=$F78+$G78-1),1,""))</f>
        <v/>
      </c>
      <c r="DA78" s="5" t="str">
        <f ca="1">IF(AND($C78="Objetivo",DA$8&gt;=$F78,DA$8&lt;=$F78+$G78-1),2,IF(AND($C78="Hito",DA$8&gt;=$F78,DA$8&lt;=$F78+$G78-1),1,""))</f>
        <v/>
      </c>
      <c r="DB78" s="5" t="str">
        <f ca="1">IF(AND($C78="Objetivo",DB$8&gt;=$F78,DB$8&lt;=$F78+$G78-1),2,IF(AND($C78="Hito",DB$8&gt;=$F78,DB$8&lt;=$F78+$G78-1),1,""))</f>
        <v/>
      </c>
    </row>
  </sheetData>
  <mergeCells count="8">
    <mergeCell ref="AE4:AH4"/>
    <mergeCell ref="B2:J2"/>
    <mergeCell ref="K2:P2"/>
    <mergeCell ref="Q2:V2"/>
    <mergeCell ref="K4:N4"/>
    <mergeCell ref="P4:S4"/>
    <mergeCell ref="U4:X4"/>
    <mergeCell ref="Z4:AC4"/>
  </mergeCells>
  <conditionalFormatting sqref="E10:E78">
    <cfRule type="dataBar" priority="49">
      <dataBar>
        <cfvo type="num" val="0"/>
        <cfvo type="num" val="1"/>
        <color theme="9" tint="0.59999389629810485"/>
      </dataBar>
      <extLst>
        <ext xmlns:x14="http://schemas.microsoft.com/office/spreadsheetml/2009/9/main" uri="{B025F937-C7B1-47D3-B67F-A62EFF666E3E}">
          <x14:id>{525E2E32-08A8-4D4A-AE0D-3193A3048A39}</x14:id>
        </ext>
      </extLst>
    </cfRule>
  </conditionalFormatting>
  <conditionalFormatting sqref="K7:AO7">
    <cfRule type="expression" dxfId="117" priority="193">
      <formula>K$8&lt;=EOMONTH($K$8,0)</formula>
    </cfRule>
  </conditionalFormatting>
  <conditionalFormatting sqref="K8:BN78">
    <cfRule type="expression" dxfId="116" priority="161">
      <formula>AND(TODAY()&gt;=K$8,TODAY()&lt;L$8)</formula>
    </cfRule>
  </conditionalFormatting>
  <conditionalFormatting sqref="K11:BN37">
    <cfRule type="expression" dxfId="115" priority="250" stopIfTrue="1">
      <formula>AND($C11="Riesgo bajo",K$8&gt;=$F11,K$8&lt;=$F11+$G11-1)</formula>
    </cfRule>
    <cfRule type="expression" dxfId="114" priority="251" stopIfTrue="1">
      <formula>AND($C11="Riesgo alto",K$8&gt;=$F11,K$8&lt;=$F11+$G11-1)</formula>
    </cfRule>
    <cfRule type="expression" dxfId="113" priority="252" stopIfTrue="1">
      <formula>AND($C11="Según lo previsto",K$8&gt;=$F11,K$8&lt;=$F11+$G11-1)</formula>
    </cfRule>
    <cfRule type="expression" dxfId="112" priority="253" stopIfTrue="1">
      <formula>AND($C11="Riesgo medio",K$8&gt;=$F11,K$8&lt;=$F11+$G11-1)</formula>
    </cfRule>
    <cfRule type="expression" dxfId="111" priority="254" stopIfTrue="1">
      <formula>AND(LEN($C11)=0,K$8&gt;=$F11,K$8&lt;=$F11+$G11-1)</formula>
    </cfRule>
  </conditionalFormatting>
  <conditionalFormatting sqref="K38:BN40">
    <cfRule type="expression" dxfId="110" priority="264" stopIfTrue="1">
      <formula>AND($C39="Riesgo bajo",K$8&gt;=$F39,K$8&lt;=$F39+$G39-1)</formula>
    </cfRule>
    <cfRule type="expression" dxfId="109" priority="265" stopIfTrue="1">
      <formula>AND($C39="Riesgo alto",K$8&gt;=$F39,K$8&lt;=$F39+$G39-1)</formula>
    </cfRule>
    <cfRule type="expression" dxfId="108" priority="266" stopIfTrue="1">
      <formula>AND($C39="Según lo previsto",K$8&gt;=$F39,K$8&lt;=$F39+$G39-1)</formula>
    </cfRule>
    <cfRule type="expression" dxfId="107" priority="267" stopIfTrue="1">
      <formula>AND($C39="Riesgo medio",K$8&gt;=$F39,K$8&lt;=$F39+$G39-1)</formula>
    </cfRule>
    <cfRule type="expression" dxfId="106" priority="268" stopIfTrue="1">
      <formula>AND(LEN($C39)=0,K$8&gt;=$F39,K$8&lt;=$F39+$G39-1)</formula>
    </cfRule>
  </conditionalFormatting>
  <conditionalFormatting sqref="K41:BN41">
    <cfRule type="expression" dxfId="105" priority="314" stopIfTrue="1">
      <formula>AND($C38="Riesgo bajo",K$8&gt;=$F38,K$8&lt;=$F38+$G38-1)</formula>
    </cfRule>
    <cfRule type="expression" dxfId="104" priority="315" stopIfTrue="1">
      <formula>AND($C38="Riesgo alto",K$8&gt;=$F38,K$8&lt;=$F38+$G38-1)</formula>
    </cfRule>
    <cfRule type="expression" dxfId="103" priority="316" stopIfTrue="1">
      <formula>AND($C38="Según lo previsto",K$8&gt;=$F38,K$8&lt;=$F38+$G38-1)</formula>
    </cfRule>
    <cfRule type="expression" dxfId="102" priority="317" stopIfTrue="1">
      <formula>AND($C38="Riesgo medio",K$8&gt;=$F38,K$8&lt;=$F38+$G38-1)</formula>
    </cfRule>
    <cfRule type="expression" dxfId="101" priority="318" stopIfTrue="1">
      <formula>AND(LEN($C38)=0,K$8&gt;=$F38,K$8&lt;=$F38+$G38-1)</formula>
    </cfRule>
  </conditionalFormatting>
  <conditionalFormatting sqref="K42:BN50">
    <cfRule type="expression" dxfId="100" priority="368" stopIfTrue="1">
      <formula>AND($C42="Riesgo bajo",K$8&gt;=$F42,K$8&lt;=$F42+$G42-1)</formula>
    </cfRule>
    <cfRule type="expression" dxfId="99" priority="369" stopIfTrue="1">
      <formula>AND($C42="Riesgo alto",K$8&gt;=$F42,K$8&lt;=$F42+$G42-1)</formula>
    </cfRule>
    <cfRule type="expression" dxfId="98" priority="370" stopIfTrue="1">
      <formula>AND($C42="Según lo previsto",K$8&gt;=$F42,K$8&lt;=$F42+$G42-1)</formula>
    </cfRule>
    <cfRule type="expression" dxfId="97" priority="371" stopIfTrue="1">
      <formula>AND($C42="Riesgo medio",K$8&gt;=$F42,K$8&lt;=$F42+$G42-1)</formula>
    </cfRule>
    <cfRule type="expression" dxfId="96" priority="372" stopIfTrue="1">
      <formula>AND(LEN($C42)=0,K$8&gt;=$F42,K$8&lt;=$F42+$G42-1)</formula>
    </cfRule>
  </conditionalFormatting>
  <conditionalFormatting sqref="K7:DB7">
    <cfRule type="expression" dxfId="95" priority="191">
      <formula>AND(K$8&lt;=EOMONTH($K$8,1),K$8&gt;EOMONTH($K$8,0))</formula>
    </cfRule>
  </conditionalFormatting>
  <conditionalFormatting sqref="L7:DB7">
    <cfRule type="expression" dxfId="94" priority="192">
      <formula>AND(L$8&lt;=EOMONTH($K$8,2),L$8&gt;EOMONTH($K$8,0),L$8&gt;EOMONTH($K$8,1))</formula>
    </cfRule>
  </conditionalFormatting>
  <conditionalFormatting sqref="BO12:CT37">
    <cfRule type="expression" dxfId="93" priority="177" stopIfTrue="1">
      <formula>AND($C12="Riesgo bajo",BO$8&gt;=$F12,BO$8&lt;=$F12+$G12-1)</formula>
    </cfRule>
    <cfRule type="expression" dxfId="92" priority="178" stopIfTrue="1">
      <formula>AND($C12="Riesgo alto",BO$8&gt;=$F12,BO$8&lt;=$F12+$G12-1)</formula>
    </cfRule>
    <cfRule type="expression" dxfId="91" priority="179" stopIfTrue="1">
      <formula>AND($C12="Según lo previsto",BO$8&gt;=$F12,BO$8&lt;=$F12+$G12-1)</formula>
    </cfRule>
    <cfRule type="expression" dxfId="90" priority="180" stopIfTrue="1">
      <formula>AND($C12="Riesgo medio",BO$8&gt;=$F12,BO$8&lt;=$F12+$G12-1)</formula>
    </cfRule>
    <cfRule type="expression" dxfId="89" priority="181" stopIfTrue="1">
      <formula>AND(LEN($C12)=0,BO$8&gt;=$F12,BO$8&lt;=$F12+$G12-1)</formula>
    </cfRule>
  </conditionalFormatting>
  <conditionalFormatting sqref="BO38:CT40">
    <cfRule type="expression" dxfId="88" priority="282" stopIfTrue="1">
      <formula>AND($C39="Riesgo bajo",BO$8&gt;=$F39,BO$8&lt;=$F39+$G39-1)</formula>
    </cfRule>
    <cfRule type="expression" dxfId="87" priority="283" stopIfTrue="1">
      <formula>AND($C39="Riesgo alto",BO$8&gt;=$F39,BO$8&lt;=$F39+$G39-1)</formula>
    </cfRule>
    <cfRule type="expression" dxfId="86" priority="284" stopIfTrue="1">
      <formula>AND($C39="Según lo previsto",BO$8&gt;=$F39,BO$8&lt;=$F39+$G39-1)</formula>
    </cfRule>
    <cfRule type="expression" dxfId="85" priority="285" stopIfTrue="1">
      <formula>AND($C39="Riesgo medio",BO$8&gt;=$F39,BO$8&lt;=$F39+$G39-1)</formula>
    </cfRule>
    <cfRule type="expression" dxfId="84" priority="286" stopIfTrue="1">
      <formula>AND(LEN($C39)=0,BO$8&gt;=$F39,BO$8&lt;=$F39+$G39-1)</formula>
    </cfRule>
  </conditionalFormatting>
  <conditionalFormatting sqref="BO41:CT41">
    <cfRule type="expression" dxfId="83" priority="338" stopIfTrue="1">
      <formula>AND($C38="Riesgo bajo",BO$8&gt;=$F38,BO$8&lt;=$F38+$G38-1)</formula>
    </cfRule>
    <cfRule type="expression" dxfId="82" priority="339" stopIfTrue="1">
      <formula>AND($C38="Riesgo alto",BO$8&gt;=$F38,BO$8&lt;=$F38+$G38-1)</formula>
    </cfRule>
    <cfRule type="expression" dxfId="81" priority="340" stopIfTrue="1">
      <formula>AND($C38="Según lo previsto",BO$8&gt;=$F38,BO$8&lt;=$F38+$G38-1)</formula>
    </cfRule>
    <cfRule type="expression" dxfId="80" priority="341" stopIfTrue="1">
      <formula>AND($C38="Riesgo medio",BO$8&gt;=$F38,BO$8&lt;=$F38+$G38-1)</formula>
    </cfRule>
    <cfRule type="expression" dxfId="79" priority="342" stopIfTrue="1">
      <formula>AND(LEN($C38)=0,BO$8&gt;=$F38,BO$8&lt;=$F38+$G38-1)</formula>
    </cfRule>
  </conditionalFormatting>
  <conditionalFormatting sqref="BO42:CT50">
    <cfRule type="expression" dxfId="78" priority="392" stopIfTrue="1">
      <formula>AND($C42="Riesgo bajo",BO$8&gt;=$F42,BO$8&lt;=$F42+$G42-1)</formula>
    </cfRule>
    <cfRule type="expression" dxfId="77" priority="393" stopIfTrue="1">
      <formula>AND($C42="Riesgo alto",BO$8&gt;=$F42,BO$8&lt;=$F42+$G42-1)</formula>
    </cfRule>
    <cfRule type="expression" dxfId="76" priority="394" stopIfTrue="1">
      <formula>AND($C42="Según lo previsto",BO$8&gt;=$F42,BO$8&lt;=$F42+$G42-1)</formula>
    </cfRule>
    <cfRule type="expression" dxfId="75" priority="395" stopIfTrue="1">
      <formula>AND($C42="Riesgo medio",BO$8&gt;=$F42,BO$8&lt;=$F42+$G42-1)</formula>
    </cfRule>
    <cfRule type="expression" dxfId="74" priority="396" stopIfTrue="1">
      <formula>AND(LEN($C42)=0,BO$8&gt;=$F42,BO$8&lt;=$F42+$G42-1)</formula>
    </cfRule>
  </conditionalFormatting>
  <conditionalFormatting sqref="BO8:DB10">
    <cfRule type="expression" dxfId="73" priority="190">
      <formula>AND(TODAY()&gt;=BO$8,TODAY()&lt;BP$8)</formula>
    </cfRule>
  </conditionalFormatting>
  <conditionalFormatting sqref="BO12:DB78">
    <cfRule type="expression" dxfId="72" priority="133">
      <formula>AND(TODAY()&gt;=BO$8,TODAY()&lt;BP$8)</formula>
    </cfRule>
  </conditionalFormatting>
  <conditionalFormatting sqref="BU7">
    <cfRule type="expression" dxfId="71" priority="182">
      <formula>BU$8&lt;=EOMONTH($K$8,0)</formula>
    </cfRule>
  </conditionalFormatting>
  <conditionalFormatting sqref="CT7">
    <cfRule type="expression" dxfId="70" priority="132">
      <formula>CT$8&lt;=EOMONTH($K$8,0)</formula>
    </cfRule>
  </conditionalFormatting>
  <conditionalFormatting sqref="CU12:DB37">
    <cfRule type="expression" dxfId="69" priority="149" stopIfTrue="1">
      <formula>AND($C12="Riesgo bajo",CU$8&gt;=$F12,CU$8&lt;=$F12+$G12-1)</formula>
    </cfRule>
    <cfRule type="expression" dxfId="68" priority="150" stopIfTrue="1">
      <formula>AND($C12="Riesgo alto",CU$8&gt;=$F12,CU$8&lt;=$F12+$G12-1)</formula>
    </cfRule>
    <cfRule type="expression" dxfId="67" priority="151" stopIfTrue="1">
      <formula>AND($C12="Según lo previsto",CU$8&gt;=$F12,CU$8&lt;=$F12+$G12-1)</formula>
    </cfRule>
    <cfRule type="expression" dxfId="66" priority="152" stopIfTrue="1">
      <formula>AND($C12="Riesgo medio",CU$8&gt;=$F12,CU$8&lt;=$F12+$G12-1)</formula>
    </cfRule>
    <cfRule type="expression" dxfId="65" priority="153" stopIfTrue="1">
      <formula>AND(LEN($C12)=0,CU$8&gt;=$F12,CU$8&lt;=$F12+$G12-1)</formula>
    </cfRule>
  </conditionalFormatting>
  <conditionalFormatting sqref="CU38:DB40">
    <cfRule type="expression" dxfId="64" priority="294" stopIfTrue="1">
      <formula>AND($C39="Riesgo bajo",CU$8&gt;=$F39,CU$8&lt;=$F39+$G39-1)</formula>
    </cfRule>
    <cfRule type="expression" dxfId="63" priority="295" stopIfTrue="1">
      <formula>AND($C39="Riesgo alto",CU$8&gt;=$F39,CU$8&lt;=$F39+$G39-1)</formula>
    </cfRule>
    <cfRule type="expression" dxfId="62" priority="296" stopIfTrue="1">
      <formula>AND($C39="Según lo previsto",CU$8&gt;=$F39,CU$8&lt;=$F39+$G39-1)</formula>
    </cfRule>
    <cfRule type="expression" dxfId="61" priority="297" stopIfTrue="1">
      <formula>AND($C39="Riesgo medio",CU$8&gt;=$F39,CU$8&lt;=$F39+$G39-1)</formula>
    </cfRule>
    <cfRule type="expression" dxfId="60" priority="298" stopIfTrue="1">
      <formula>AND(LEN($C39)=0,CU$8&gt;=$F39,CU$8&lt;=$F39+$G39-1)</formula>
    </cfRule>
  </conditionalFormatting>
  <conditionalFormatting sqref="CU41:DB41">
    <cfRule type="expression" dxfId="59" priority="356" stopIfTrue="1">
      <formula>AND($C38="Riesgo bajo",CU$8&gt;=$F38,CU$8&lt;=$F38+$G38-1)</formula>
    </cfRule>
    <cfRule type="expression" dxfId="58" priority="357" stopIfTrue="1">
      <formula>AND($C38="Riesgo alto",CU$8&gt;=$F38,CU$8&lt;=$F38+$G38-1)</formula>
    </cfRule>
    <cfRule type="expression" dxfId="57" priority="358" stopIfTrue="1">
      <formula>AND($C38="Según lo previsto",CU$8&gt;=$F38,CU$8&lt;=$F38+$G38-1)</formula>
    </cfRule>
    <cfRule type="expression" dxfId="56" priority="359" stopIfTrue="1">
      <formula>AND($C38="Riesgo medio",CU$8&gt;=$F38,CU$8&lt;=$F38+$G38-1)</formula>
    </cfRule>
    <cfRule type="expression" dxfId="55" priority="360" stopIfTrue="1">
      <formula>AND(LEN($C38)=0,CU$8&gt;=$F38,CU$8&lt;=$F38+$G38-1)</formula>
    </cfRule>
  </conditionalFormatting>
  <conditionalFormatting sqref="CU42:DB50">
    <cfRule type="expression" dxfId="54" priority="410" stopIfTrue="1">
      <formula>AND($C42="Riesgo bajo",CU$8&gt;=$F42,CU$8&lt;=$F42+$G42-1)</formula>
    </cfRule>
    <cfRule type="expression" dxfId="53" priority="411" stopIfTrue="1">
      <formula>AND($C42="Riesgo alto",CU$8&gt;=$F42,CU$8&lt;=$F42+$G42-1)</formula>
    </cfRule>
    <cfRule type="expression" dxfId="52" priority="412" stopIfTrue="1">
      <formula>AND($C42="Según lo previsto",CU$8&gt;=$F42,CU$8&lt;=$F42+$G42-1)</formula>
    </cfRule>
    <cfRule type="expression" dxfId="51" priority="413" stopIfTrue="1">
      <formula>AND($C42="Riesgo medio",CU$8&gt;=$F42,CU$8&lt;=$F42+$G42-1)</formula>
    </cfRule>
    <cfRule type="expression" dxfId="50" priority="414" stopIfTrue="1">
      <formula>AND(LEN($C42)=0,CU$8&gt;=$F42,CU$8&lt;=$F42+$G42-1)</formula>
    </cfRule>
  </conditionalFormatting>
  <conditionalFormatting sqref="K52:BN57">
    <cfRule type="expression" dxfId="49" priority="522" stopIfTrue="1">
      <formula>AND($C52="Riesgo bajo",K$8&gt;=$F52,K$8&lt;=$F52+$G52-1)</formula>
    </cfRule>
    <cfRule type="expression" dxfId="48" priority="523" stopIfTrue="1">
      <formula>AND($C52="Riesgo alto",K$8&gt;=$F52,K$8&lt;=$F52+$G52-1)</formula>
    </cfRule>
    <cfRule type="expression" dxfId="47" priority="524" stopIfTrue="1">
      <formula>AND($C52="Según lo previsto",K$8&gt;=$F52,K$8&lt;=$F52+$G52-1)</formula>
    </cfRule>
    <cfRule type="expression" dxfId="46" priority="525" stopIfTrue="1">
      <formula>AND($C52="Riesgo medio",K$8&gt;=$F52,K$8&lt;=$F52+$G52-1)</formula>
    </cfRule>
    <cfRule type="expression" dxfId="45" priority="526" stopIfTrue="1">
      <formula>AND(LEN($C52)=0,K$8&gt;=$F52,K$8&lt;=$F52+$G52-1)</formula>
    </cfRule>
  </conditionalFormatting>
  <conditionalFormatting sqref="K58:BN66">
    <cfRule type="expression" dxfId="44" priority="528" stopIfTrue="1">
      <formula>AND($C58="Riesgo bajo",K$8&gt;=$F58,K$8&lt;=$F58+$G58-1)</formula>
    </cfRule>
    <cfRule type="expression" dxfId="43" priority="529" stopIfTrue="1">
      <formula>AND($C58="Riesgo alto",K$8&gt;=$F58,K$8&lt;=$F58+$G58-1)</formula>
    </cfRule>
    <cfRule type="expression" dxfId="42" priority="530" stopIfTrue="1">
      <formula>AND($C58="Según lo previsto",K$8&gt;=$F58,K$8&lt;=$F58+$G58-1)</formula>
    </cfRule>
    <cfRule type="expression" dxfId="41" priority="531" stopIfTrue="1">
      <formula>AND($C58="Riesgo medio",K$8&gt;=$F58,K$8&lt;=$F58+$G58-1)</formula>
    </cfRule>
    <cfRule type="expression" dxfId="40" priority="532" stopIfTrue="1">
      <formula>AND(LEN($C58)=0,K$8&gt;=$F58,K$8&lt;=$F58+$G58-1)</formula>
    </cfRule>
  </conditionalFormatting>
  <conditionalFormatting sqref="K67:BN78">
    <cfRule type="expression" dxfId="39" priority="534" stopIfTrue="1">
      <formula>AND($C67="Riesgo bajo",K$8&gt;=$F67,K$8&lt;=$F67+$G67-1)</formula>
    </cfRule>
    <cfRule type="expression" dxfId="38" priority="535" stopIfTrue="1">
      <formula>AND($C67="Riesgo alto",K$8&gt;=$F67,K$8&lt;=$F67+$G67-1)</formula>
    </cfRule>
    <cfRule type="expression" dxfId="37" priority="536" stopIfTrue="1">
      <formula>AND($C67="Según lo previsto",K$8&gt;=$F67,K$8&lt;=$F67+$G67-1)</formula>
    </cfRule>
    <cfRule type="expression" dxfId="36" priority="537" stopIfTrue="1">
      <formula>AND($C67="Riesgo medio",K$8&gt;=$F67,K$8&lt;=$F67+$G67-1)</formula>
    </cfRule>
    <cfRule type="expression" dxfId="35" priority="538" stopIfTrue="1">
      <formula>AND(LEN($C67)=0,K$8&gt;=$F67,K$8&lt;=$F67+$G67-1)</formula>
    </cfRule>
  </conditionalFormatting>
  <conditionalFormatting sqref="BO52:CT66">
    <cfRule type="expression" dxfId="34" priority="540" stopIfTrue="1">
      <formula>AND($C52="Riesgo bajo",BO$8&gt;=$F52,BO$8&lt;=$F52+$G52-1)</formula>
    </cfRule>
    <cfRule type="expression" dxfId="33" priority="541" stopIfTrue="1">
      <formula>AND($C52="Riesgo alto",BO$8&gt;=$F52,BO$8&lt;=$F52+$G52-1)</formula>
    </cfRule>
    <cfRule type="expression" dxfId="32" priority="542" stopIfTrue="1">
      <formula>AND($C52="Según lo previsto",BO$8&gt;=$F52,BO$8&lt;=$F52+$G52-1)</formula>
    </cfRule>
    <cfRule type="expression" dxfId="31" priority="543" stopIfTrue="1">
      <formula>AND($C52="Riesgo medio",BO$8&gt;=$F52,BO$8&lt;=$F52+$G52-1)</formula>
    </cfRule>
    <cfRule type="expression" dxfId="30" priority="544" stopIfTrue="1">
      <formula>AND(LEN($C52)=0,BO$8&gt;=$F52,BO$8&lt;=$F52+$G52-1)</formula>
    </cfRule>
  </conditionalFormatting>
  <conditionalFormatting sqref="BO67:CT78">
    <cfRule type="expression" dxfId="29" priority="546" stopIfTrue="1">
      <formula>AND($C67="Riesgo bajo",BO$8&gt;=$F67,BO$8&lt;=$F67+$G67-1)</formula>
    </cfRule>
    <cfRule type="expression" dxfId="28" priority="547" stopIfTrue="1">
      <formula>AND($C67="Riesgo alto",BO$8&gt;=$F67,BO$8&lt;=$F67+$G67-1)</formula>
    </cfRule>
    <cfRule type="expression" dxfId="27" priority="548" stopIfTrue="1">
      <formula>AND($C67="Según lo previsto",BO$8&gt;=$F67,BO$8&lt;=$F67+$G67-1)</formula>
    </cfRule>
    <cfRule type="expression" dxfId="26" priority="549" stopIfTrue="1">
      <formula>AND($C67="Riesgo medio",BO$8&gt;=$F67,BO$8&lt;=$F67+$G67-1)</formula>
    </cfRule>
    <cfRule type="expression" dxfId="25" priority="550" stopIfTrue="1">
      <formula>AND(LEN($C67)=0,BO$8&gt;=$F67,BO$8&lt;=$F67+$G67-1)</formula>
    </cfRule>
  </conditionalFormatting>
  <conditionalFormatting sqref="CU52:DB66">
    <cfRule type="expression" dxfId="24" priority="552" stopIfTrue="1">
      <formula>AND($C52="Riesgo bajo",CU$8&gt;=$F52,CU$8&lt;=$F52+$G52-1)</formula>
    </cfRule>
    <cfRule type="expression" dxfId="23" priority="553" stopIfTrue="1">
      <formula>AND($C52="Riesgo alto",CU$8&gt;=$F52,CU$8&lt;=$F52+$G52-1)</formula>
    </cfRule>
    <cfRule type="expression" dxfId="22" priority="554" stopIfTrue="1">
      <formula>AND($C52="Según lo previsto",CU$8&gt;=$F52,CU$8&lt;=$F52+$G52-1)</formula>
    </cfRule>
    <cfRule type="expression" dxfId="21" priority="555" stopIfTrue="1">
      <formula>AND($C52="Riesgo medio",CU$8&gt;=$F52,CU$8&lt;=$F52+$G52-1)</formula>
    </cfRule>
    <cfRule type="expression" dxfId="20" priority="556" stopIfTrue="1">
      <formula>AND(LEN($C52)=0,CU$8&gt;=$F52,CU$8&lt;=$F52+$G52-1)</formula>
    </cfRule>
  </conditionalFormatting>
  <conditionalFormatting sqref="CU67:DB78">
    <cfRule type="expression" dxfId="19" priority="558" stopIfTrue="1">
      <formula>AND($C67="Riesgo bajo",CU$8&gt;=$F67,CU$8&lt;=$F67+$G67-1)</formula>
    </cfRule>
    <cfRule type="expression" dxfId="18" priority="559" stopIfTrue="1">
      <formula>AND($C67="Riesgo alto",CU$8&gt;=$F67,CU$8&lt;=$F67+$G67-1)</formula>
    </cfRule>
    <cfRule type="expression" dxfId="17" priority="560" stopIfTrue="1">
      <formula>AND($C67="Según lo previsto",CU$8&gt;=$F67,CU$8&lt;=$F67+$G67-1)</formula>
    </cfRule>
    <cfRule type="expression" dxfId="16" priority="561" stopIfTrue="1">
      <formula>AND($C67="Riesgo medio",CU$8&gt;=$F67,CU$8&lt;=$F67+$G67-1)</formula>
    </cfRule>
    <cfRule type="expression" dxfId="15" priority="562" stopIfTrue="1">
      <formula>AND(LEN($C67)=0,CU$8&gt;=$F67,CU$8&lt;=$F67+$G67-1)</formula>
    </cfRule>
  </conditionalFormatting>
  <conditionalFormatting sqref="K51:BN51">
    <cfRule type="expression" dxfId="14" priority="564" stopIfTrue="1">
      <formula>AND($C51="Riesgo bajo",K$8&gt;=$F51,K$8&lt;=$F51+$G51-1)</formula>
    </cfRule>
    <cfRule type="expression" dxfId="13" priority="565" stopIfTrue="1">
      <formula>AND($C51="Riesgo alto",K$8&gt;=$F51,K$8&lt;=$F51+$G51-1)</formula>
    </cfRule>
    <cfRule type="expression" dxfId="12" priority="566" stopIfTrue="1">
      <formula>AND($C51="Según lo previsto",K$8&gt;=$F51,K$8&lt;=$F51+$G51-1)</formula>
    </cfRule>
    <cfRule type="expression" dxfId="11" priority="567" stopIfTrue="1">
      <formula>AND($C51="Riesgo medio",K$8&gt;=$F51,K$8&lt;=$F51+$G51-1)</formula>
    </cfRule>
    <cfRule type="expression" dxfId="10" priority="568" stopIfTrue="1">
      <formula>AND(LEN($C51)=0,K$8&gt;=$F51,K$8&lt;=$F51+$G51-1)</formula>
    </cfRule>
  </conditionalFormatting>
  <conditionalFormatting sqref="BO51:CT51">
    <cfRule type="expression" dxfId="9" priority="570" stopIfTrue="1">
      <formula>AND($C51="Riesgo bajo",BO$8&gt;=$F51,BO$8&lt;=$F51+$G51-1)</formula>
    </cfRule>
    <cfRule type="expression" dxfId="8" priority="571" stopIfTrue="1">
      <formula>AND($C51="Riesgo alto",BO$8&gt;=$F51,BO$8&lt;=$F51+$G51-1)</formula>
    </cfRule>
    <cfRule type="expression" dxfId="7" priority="572" stopIfTrue="1">
      <formula>AND($C51="Según lo previsto",BO$8&gt;=$F51,BO$8&lt;=$F51+$G51-1)</formula>
    </cfRule>
    <cfRule type="expression" dxfId="6" priority="573" stopIfTrue="1">
      <formula>AND($C51="Riesgo medio",BO$8&gt;=$F51,BO$8&lt;=$F51+$G51-1)</formula>
    </cfRule>
    <cfRule type="expression" dxfId="5" priority="574" stopIfTrue="1">
      <formula>AND(LEN($C51)=0,BO$8&gt;=$F51,BO$8&lt;=$F51+$G51-1)</formula>
    </cfRule>
  </conditionalFormatting>
  <conditionalFormatting sqref="CU51:DB51">
    <cfRule type="expression" dxfId="4" priority="576" stopIfTrue="1">
      <formula>AND($C51="Riesgo bajo",CU$8&gt;=$F51,CU$8&lt;=$F51+$G51-1)</formula>
    </cfRule>
    <cfRule type="expression" dxfId="3" priority="577" stopIfTrue="1">
      <formula>AND($C51="Riesgo alto",CU$8&gt;=$F51,CU$8&lt;=$F51+$G51-1)</formula>
    </cfRule>
    <cfRule type="expression" dxfId="2" priority="578" stopIfTrue="1">
      <formula>AND($C51="Según lo previsto",CU$8&gt;=$F51,CU$8&lt;=$F51+$G51-1)</formula>
    </cfRule>
    <cfRule type="expression" dxfId="1" priority="579" stopIfTrue="1">
      <formula>AND($C51="Riesgo medio",CU$8&gt;=$F51,CU$8&lt;=$F51+$G51-1)</formula>
    </cfRule>
    <cfRule type="expression" dxfId="0" priority="580" stopIfTrue="1">
      <formula>AND(LEN($C51)=0,CU$8&gt;=$F51,CU$8&lt;=$F51+$G51-1)</formula>
    </cfRule>
  </conditionalFormatting>
  <dataValidations count="11">
    <dataValidation type="list" allowBlank="1" showInputMessage="1" sqref="C12:C18" xr:uid="{2A71DF35-3E17-4EA3-9F65-3869ED6D651B}">
      <formula1>"Objetivo,Hito,Según lo previsto, Riesgo bajo, Riesgo medio, Riesgo alto"</formula1>
    </dataValidation>
    <dataValidation type="list" allowBlank="1" showInputMessage="1" showErrorMessage="1" sqref="C11 C19:C50 C51:C78" xr:uid="{A8CFFA66-BA13-4963-ABE3-DD76F5716C76}">
      <formula1>"Objetivo,Hito,Según lo previsto, Riesgo bajo, Riesgo medio, Riesgo alto"</formula1>
    </dataValidation>
    <dataValidation type="whole" operator="greaterThanOrEqual" allowBlank="1" showInputMessage="1" promptTitle="Incremento de desplazamiento" prompt="Al cambiar este número, se desplazará la vista del diagrama de Gantt." sqref="C8" xr:uid="{86087FA1-35BE-457A-912C-7FF26BCE687A}">
      <formula1>0</formula1>
    </dataValidation>
    <dataValidation allowBlank="1" showInputMessage="1" showErrorMessage="1" prompt="Escribe información del proyecto desde la celda B11 hasta la G11. _x000a_Escribe la descripción del hito, selecciona una categoría, asigna a alguien a la tarea y, para graficar, escribe el progreso, fecha de inicio y días para la tarea._x000a_" sqref="A12:A18" xr:uid="{6BCA7D1C-2B33-4267-B02B-4DBA8944EFBD}"/>
    <dataValidation allowBlank="1" showInputMessage="1" showErrorMessage="1" prompt="La fila tiene encabezados de la programación del proyecto. Hay información de la programación entre B9 y G9. Las celdas I9 a BL9 tienen la primera letra de los días de la fecha anterior al encabezado._x000a_Los gráficos de escala de tiempo se autogeneran." sqref="A10" xr:uid="{B8D2B96F-34FD-4F20-9F50-24DB43B4F207}"/>
    <dataValidation allowBlank="1" showInputMessage="1" showErrorMessage="1" prompt="Hay una barra de desplazamiento entre las celdas I8 y BL8. _x000a_Para avanzar o retroceder en la escala de tiempo, escribe un valor de 0 o superior en la celda C7._x000a_El valor 0 te lleva al principio del gráfico." sqref="A9" xr:uid="{74A0C51E-7215-45D6-BD24-C245B7BE27E3}"/>
    <dataValidation allowBlank="1" showInputMessage="1" showErrorMessage="1" prompt="Las celdas I9 a BL9 contienen el día del mes representado en el bloque de celdas, encima de cada celda de fecha, y se calculan automáticamente._x000a_No modifique estas celdas._x000a_" sqref="A8" xr:uid="{4842210D-BF55-4A86-A4C6-842F795F4B74}"/>
    <dataValidation allowBlank="1" showInputMessage="1" showErrorMessage="1" prompt="Hay un incremento de desplazamiento en la celda C7. _x000a_Los meses para las fechas de la fila 7 se muestran entre las celdas I6 y BL6._x000a_No modifiques estas celdas. Se actualizan automáticamente según la fecha de inicio del proyecto en la celda F6." sqref="A7" xr:uid="{EA9CC617-2BA8-4E15-BE35-1DC8ED6023FF}"/>
    <dataValidation allowBlank="1" showInputMessage="1" showErrorMessage="1" prompt="Ingresa el jefe de proyecto en la celda B5. Escribe la fecha de inicio en la C6 o permite que la fórmula de ejemplo busque el valor de fecha más pequeño de la tabla de datos de Gantt._x000a_Fecha de Inicio de proyecto: la etiqueta está en la celda B6." sqref="A5:A6" xr:uid="{FAE763E7-9FD8-4860-8671-9ACC7ED6CF64}"/>
    <dataValidation allowBlank="1" showInputMessage="1" showErrorMessage="1" prompt="Escribe el nombre de la empresa en B4._x000a_Hay una leyenda entre las celdas I4 y AC4. La etiqueta de leyenda está en la celda G4." sqref="A4" xr:uid="{80AAC854-89E1-4DDF-A7BB-5345D03244F7}"/>
    <dataValidation allowBlank="1" showInputMessage="1" showErrorMessage="1" promptTitle="Crear un diagrama de Gantt " prompt="Escribe el título del proyecto en la celda B2. _x000a_La hoja Información contiene información de uso de la hoja, instrucciones para lectores de pantalla y el autor del libro._x000a_Sigue bajando por la columna A para obtener más instrucciones." sqref="A2" xr:uid="{CFF7D6BF-E50E-4A95-ACAE-5DE35B344326}"/>
  </dataValidations>
  <pageMargins left="0.51181102362204722" right="0.51181102362204722" top="0.51181102362204722" bottom="0.51181102362204722" header="0.31496062992125984" footer="0.31496062992125984"/>
  <pageSetup paperSize="9" fitToHeight="0" orientation="landscape" r:id="rId1"/>
  <drawing r:id="rId2"/>
  <legacyDrawing r:id="rId3"/>
  <mc:AlternateContent xmlns:mc="http://schemas.openxmlformats.org/markup-compatibility/2006">
    <mc:Choice Requires="x14">
      <controls>
        <mc:AlternateContent xmlns:mc="http://schemas.openxmlformats.org/markup-compatibility/2006">
          <mc:Choice Requires="x14">
            <control shapeId="17409" r:id="rId4" name="Barra de desplazamiento 1">
              <controlPr defaultSize="0" autoPict="0" altText="Scroll bar to scroll through the Ghantt project timeline.">
                <anchor moveWithCells="1">
                  <from>
                    <xdr:col>10</xdr:col>
                    <xdr:colOff>28575</xdr:colOff>
                    <xdr:row>8</xdr:row>
                    <xdr:rowOff>57150</xdr:rowOff>
                  </from>
                  <to>
                    <xdr:col>44</xdr:col>
                    <xdr:colOff>371475</xdr:colOff>
                    <xdr:row>9</xdr:row>
                    <xdr:rowOff>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525E2E32-08A8-4D4A-AE0D-3193A3048A39}">
            <x14:dataBar minLength="0" maxLength="100" gradient="0">
              <x14:cfvo type="num">
                <xm:f>0</xm:f>
              </x14:cfvo>
              <x14:cfvo type="num">
                <xm:f>1</xm:f>
              </x14:cfvo>
              <x14:negativeFillColor rgb="FFFF0000"/>
              <x14:axisColor rgb="FF000000"/>
            </x14:dataBar>
          </x14:cfRule>
          <xm:sqref>E10:E78</xm:sqref>
        </x14:conditionalFormatting>
        <x14:conditionalFormatting xmlns:xm="http://schemas.microsoft.com/office/excel/2006/main">
          <x14:cfRule type="iconSet" priority="249"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K11:BN37</xm:sqref>
        </x14:conditionalFormatting>
        <x14:conditionalFormatting xmlns:xm="http://schemas.microsoft.com/office/excel/2006/main">
          <x14:cfRule type="iconSet" priority="263"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K38:BN40</xm:sqref>
        </x14:conditionalFormatting>
        <x14:conditionalFormatting xmlns:xm="http://schemas.microsoft.com/office/excel/2006/main">
          <x14:cfRule type="iconSet" priority="313"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K41:BN41</xm:sqref>
        </x14:conditionalFormatting>
        <x14:conditionalFormatting xmlns:xm="http://schemas.microsoft.com/office/excel/2006/main">
          <x14:cfRule type="iconSet" priority="367"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K42:BN50</xm:sqref>
        </x14:conditionalFormatting>
        <x14:conditionalFormatting xmlns:xm="http://schemas.microsoft.com/office/excel/2006/main">
          <x14:cfRule type="iconSet" priority="176" id="{F35BCA31-8636-489F-A1C0-9E6904ABFDE6}">
            <x14:iconSet iconSet="3Stars" showValue="0" custom="1">
              <x14:cfvo type="percent">
                <xm:f>0</xm:f>
              </x14:cfvo>
              <x14:cfvo type="num">
                <xm:f>1</xm:f>
              </x14:cfvo>
              <x14:cfvo type="num">
                <xm:f>2</xm:f>
              </x14:cfvo>
              <x14:cfIcon iconSet="NoIcons" iconId="0"/>
              <x14:cfIcon iconSet="3Flags" iconId="1"/>
              <x14:cfIcon iconSet="3Signs" iconId="0"/>
            </x14:iconSet>
          </x14:cfRule>
          <xm:sqref>BO12:CT37</xm:sqref>
        </x14:conditionalFormatting>
        <x14:conditionalFormatting xmlns:xm="http://schemas.microsoft.com/office/excel/2006/main">
          <x14:cfRule type="iconSet" priority="281" id="{92287DAB-502A-48C9-B11C-A26C056383B1}">
            <x14:iconSet iconSet="3Stars" showValue="0" custom="1">
              <x14:cfvo type="percent">
                <xm:f>0</xm:f>
              </x14:cfvo>
              <x14:cfvo type="num">
                <xm:f>1</xm:f>
              </x14:cfvo>
              <x14:cfvo type="num">
                <xm:f>2</xm:f>
              </x14:cfvo>
              <x14:cfIcon iconSet="NoIcons" iconId="0"/>
              <x14:cfIcon iconSet="3Flags" iconId="1"/>
              <x14:cfIcon iconSet="3Signs" iconId="0"/>
            </x14:iconSet>
          </x14:cfRule>
          <xm:sqref>BO38:CT40</xm:sqref>
        </x14:conditionalFormatting>
        <x14:conditionalFormatting xmlns:xm="http://schemas.microsoft.com/office/excel/2006/main">
          <x14:cfRule type="iconSet" priority="337" id="{92287DAB-502A-48C9-B11C-A26C056383B1}">
            <x14:iconSet iconSet="3Stars" showValue="0" custom="1">
              <x14:cfvo type="percent">
                <xm:f>0</xm:f>
              </x14:cfvo>
              <x14:cfvo type="num">
                <xm:f>1</xm:f>
              </x14:cfvo>
              <x14:cfvo type="num">
                <xm:f>2</xm:f>
              </x14:cfvo>
              <x14:cfIcon iconSet="NoIcons" iconId="0"/>
              <x14:cfIcon iconSet="3Flags" iconId="1"/>
              <x14:cfIcon iconSet="3Signs" iconId="0"/>
            </x14:iconSet>
          </x14:cfRule>
          <xm:sqref>BO41:CT41</xm:sqref>
        </x14:conditionalFormatting>
        <x14:conditionalFormatting xmlns:xm="http://schemas.microsoft.com/office/excel/2006/main">
          <x14:cfRule type="iconSet" priority="391" id="{92287DAB-502A-48C9-B11C-A26C056383B1}">
            <x14:iconSet iconSet="3Stars" showValue="0" custom="1">
              <x14:cfvo type="percent">
                <xm:f>0</xm:f>
              </x14:cfvo>
              <x14:cfvo type="num">
                <xm:f>1</xm:f>
              </x14:cfvo>
              <x14:cfvo type="num">
                <xm:f>2</xm:f>
              </x14:cfvo>
              <x14:cfIcon iconSet="NoIcons" iconId="0"/>
              <x14:cfIcon iconSet="3Flags" iconId="1"/>
              <x14:cfIcon iconSet="3Signs" iconId="0"/>
            </x14:iconSet>
          </x14:cfRule>
          <xm:sqref>BO42:CT50</xm:sqref>
        </x14:conditionalFormatting>
        <x14:conditionalFormatting xmlns:xm="http://schemas.microsoft.com/office/excel/2006/main">
          <x14:cfRule type="iconSet" priority="148" id="{2BA93C1C-DF7E-4DF5-A471-CF4349B4A8D1}">
            <x14:iconSet iconSet="3Stars" showValue="0" custom="1">
              <x14:cfvo type="percent">
                <xm:f>0</xm:f>
              </x14:cfvo>
              <x14:cfvo type="num">
                <xm:f>1</xm:f>
              </x14:cfvo>
              <x14:cfvo type="num">
                <xm:f>2</xm:f>
              </x14:cfvo>
              <x14:cfIcon iconSet="NoIcons" iconId="0"/>
              <x14:cfIcon iconSet="3Flags" iconId="1"/>
              <x14:cfIcon iconSet="3Signs" iconId="0"/>
            </x14:iconSet>
          </x14:cfRule>
          <xm:sqref>CU12:DB37</xm:sqref>
        </x14:conditionalFormatting>
        <x14:conditionalFormatting xmlns:xm="http://schemas.microsoft.com/office/excel/2006/main">
          <x14:cfRule type="iconSet" priority="293" id="{291FF0C4-9F84-4B7E-8CBB-A9F8CD770340}">
            <x14:iconSet iconSet="3Stars" showValue="0" custom="1">
              <x14:cfvo type="percent">
                <xm:f>0</xm:f>
              </x14:cfvo>
              <x14:cfvo type="num">
                <xm:f>1</xm:f>
              </x14:cfvo>
              <x14:cfvo type="num">
                <xm:f>2</xm:f>
              </x14:cfvo>
              <x14:cfIcon iconSet="NoIcons" iconId="0"/>
              <x14:cfIcon iconSet="3Flags" iconId="1"/>
              <x14:cfIcon iconSet="3Signs" iconId="0"/>
            </x14:iconSet>
          </x14:cfRule>
          <xm:sqref>CU38:DB40</xm:sqref>
        </x14:conditionalFormatting>
        <x14:conditionalFormatting xmlns:xm="http://schemas.microsoft.com/office/excel/2006/main">
          <x14:cfRule type="iconSet" priority="355" id="{291FF0C4-9F84-4B7E-8CBB-A9F8CD770340}">
            <x14:iconSet iconSet="3Stars" showValue="0" custom="1">
              <x14:cfvo type="percent">
                <xm:f>0</xm:f>
              </x14:cfvo>
              <x14:cfvo type="num">
                <xm:f>1</xm:f>
              </x14:cfvo>
              <x14:cfvo type="num">
                <xm:f>2</xm:f>
              </x14:cfvo>
              <x14:cfIcon iconSet="NoIcons" iconId="0"/>
              <x14:cfIcon iconSet="3Flags" iconId="1"/>
              <x14:cfIcon iconSet="3Signs" iconId="0"/>
            </x14:iconSet>
          </x14:cfRule>
          <xm:sqref>CU41:DB41</xm:sqref>
        </x14:conditionalFormatting>
        <x14:conditionalFormatting xmlns:xm="http://schemas.microsoft.com/office/excel/2006/main">
          <x14:cfRule type="iconSet" priority="409" id="{291FF0C4-9F84-4B7E-8CBB-A9F8CD770340}">
            <x14:iconSet iconSet="3Stars" showValue="0" custom="1">
              <x14:cfvo type="percent">
                <xm:f>0</xm:f>
              </x14:cfvo>
              <x14:cfvo type="num">
                <xm:f>1</xm:f>
              </x14:cfvo>
              <x14:cfvo type="num">
                <xm:f>2</xm:f>
              </x14:cfvo>
              <x14:cfIcon iconSet="NoIcons" iconId="0"/>
              <x14:cfIcon iconSet="3Flags" iconId="1"/>
              <x14:cfIcon iconSet="3Signs" iconId="0"/>
            </x14:iconSet>
          </x14:cfRule>
          <xm:sqref>CU42:DB50</xm:sqref>
        </x14:conditionalFormatting>
        <x14:conditionalFormatting xmlns:xm="http://schemas.microsoft.com/office/excel/2006/main">
          <x14:cfRule type="iconSet" priority="521"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K52:BN57</xm:sqref>
        </x14:conditionalFormatting>
        <x14:conditionalFormatting xmlns:xm="http://schemas.microsoft.com/office/excel/2006/main">
          <x14:cfRule type="iconSet" priority="527" id="{E521F289-D59A-40EC-9591-FAA9DB081602}">
            <x14:iconSet iconSet="3Stars" showValue="0" custom="1">
              <x14:cfvo type="percent">
                <xm:f>0</xm:f>
              </x14:cfvo>
              <x14:cfvo type="num">
                <xm:f>1</xm:f>
              </x14:cfvo>
              <x14:cfvo type="num">
                <xm:f>2</xm:f>
              </x14:cfvo>
              <x14:cfIcon iconSet="NoIcons" iconId="0"/>
              <x14:cfIcon iconSet="3Flags" iconId="1"/>
              <x14:cfIcon iconSet="3Signs" iconId="0"/>
            </x14:iconSet>
          </x14:cfRule>
          <xm:sqref>K58:BN66</xm:sqref>
        </x14:conditionalFormatting>
        <x14:conditionalFormatting xmlns:xm="http://schemas.microsoft.com/office/excel/2006/main">
          <x14:cfRule type="iconSet" priority="533" id="{2A315D9E-6DFC-4016-944D-97343D784A85}">
            <x14:iconSet iconSet="3Stars" showValue="0" custom="1">
              <x14:cfvo type="percent">
                <xm:f>0</xm:f>
              </x14:cfvo>
              <x14:cfvo type="num">
                <xm:f>1</xm:f>
              </x14:cfvo>
              <x14:cfvo type="num">
                <xm:f>2</xm:f>
              </x14:cfvo>
              <x14:cfIcon iconSet="NoIcons" iconId="0"/>
              <x14:cfIcon iconSet="3Flags" iconId="1"/>
              <x14:cfIcon iconSet="3Signs" iconId="0"/>
            </x14:iconSet>
          </x14:cfRule>
          <xm:sqref>K67:BN78</xm:sqref>
        </x14:conditionalFormatting>
        <x14:conditionalFormatting xmlns:xm="http://schemas.microsoft.com/office/excel/2006/main">
          <x14:cfRule type="iconSet" priority="539" id="{92287DAB-502A-48C9-B11C-A26C056383B1}">
            <x14:iconSet iconSet="3Stars" showValue="0" custom="1">
              <x14:cfvo type="percent">
                <xm:f>0</xm:f>
              </x14:cfvo>
              <x14:cfvo type="num">
                <xm:f>1</xm:f>
              </x14:cfvo>
              <x14:cfvo type="num">
                <xm:f>2</xm:f>
              </x14:cfvo>
              <x14:cfIcon iconSet="NoIcons" iconId="0"/>
              <x14:cfIcon iconSet="3Flags" iconId="1"/>
              <x14:cfIcon iconSet="3Signs" iconId="0"/>
            </x14:iconSet>
          </x14:cfRule>
          <xm:sqref>BO52:CT66</xm:sqref>
        </x14:conditionalFormatting>
        <x14:conditionalFormatting xmlns:xm="http://schemas.microsoft.com/office/excel/2006/main">
          <x14:cfRule type="iconSet" priority="545" id="{6086B4E1-5B81-45EC-B5EA-D9D2C6F06E38}">
            <x14:iconSet iconSet="3Stars" showValue="0" custom="1">
              <x14:cfvo type="percent">
                <xm:f>0</xm:f>
              </x14:cfvo>
              <x14:cfvo type="num">
                <xm:f>1</xm:f>
              </x14:cfvo>
              <x14:cfvo type="num">
                <xm:f>2</xm:f>
              </x14:cfvo>
              <x14:cfIcon iconSet="NoIcons" iconId="0"/>
              <x14:cfIcon iconSet="3Flags" iconId="1"/>
              <x14:cfIcon iconSet="3Signs" iconId="0"/>
            </x14:iconSet>
          </x14:cfRule>
          <xm:sqref>BO67:CT78</xm:sqref>
        </x14:conditionalFormatting>
        <x14:conditionalFormatting xmlns:xm="http://schemas.microsoft.com/office/excel/2006/main">
          <x14:cfRule type="iconSet" priority="551" id="{291FF0C4-9F84-4B7E-8CBB-A9F8CD770340}">
            <x14:iconSet iconSet="3Stars" showValue="0" custom="1">
              <x14:cfvo type="percent">
                <xm:f>0</xm:f>
              </x14:cfvo>
              <x14:cfvo type="num">
                <xm:f>1</xm:f>
              </x14:cfvo>
              <x14:cfvo type="num">
                <xm:f>2</xm:f>
              </x14:cfvo>
              <x14:cfIcon iconSet="NoIcons" iconId="0"/>
              <x14:cfIcon iconSet="3Flags" iconId="1"/>
              <x14:cfIcon iconSet="3Signs" iconId="0"/>
            </x14:iconSet>
          </x14:cfRule>
          <xm:sqref>CU52:DB66</xm:sqref>
        </x14:conditionalFormatting>
        <x14:conditionalFormatting xmlns:xm="http://schemas.microsoft.com/office/excel/2006/main">
          <x14:cfRule type="iconSet" priority="557" id="{880CAF1E-9F0F-4D34-A30A-5E2050FC61B4}">
            <x14:iconSet iconSet="3Stars" showValue="0" custom="1">
              <x14:cfvo type="percent">
                <xm:f>0</xm:f>
              </x14:cfvo>
              <x14:cfvo type="num">
                <xm:f>1</xm:f>
              </x14:cfvo>
              <x14:cfvo type="num">
                <xm:f>2</xm:f>
              </x14:cfvo>
              <x14:cfIcon iconSet="NoIcons" iconId="0"/>
              <x14:cfIcon iconSet="3Flags" iconId="1"/>
              <x14:cfIcon iconSet="3Signs" iconId="0"/>
            </x14:iconSet>
          </x14:cfRule>
          <xm:sqref>CU67:DB78</xm:sqref>
        </x14:conditionalFormatting>
        <x14:conditionalFormatting xmlns:xm="http://schemas.microsoft.com/office/excel/2006/main">
          <x14:cfRule type="iconSet" priority="563"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K51:BN51</xm:sqref>
        </x14:conditionalFormatting>
        <x14:conditionalFormatting xmlns:xm="http://schemas.microsoft.com/office/excel/2006/main">
          <x14:cfRule type="iconSet" priority="569" id="{92287DAB-502A-48C9-B11C-A26C056383B1}">
            <x14:iconSet iconSet="3Stars" showValue="0" custom="1">
              <x14:cfvo type="percent">
                <xm:f>0</xm:f>
              </x14:cfvo>
              <x14:cfvo type="num">
                <xm:f>1</xm:f>
              </x14:cfvo>
              <x14:cfvo type="num">
                <xm:f>2</xm:f>
              </x14:cfvo>
              <x14:cfIcon iconSet="NoIcons" iconId="0"/>
              <x14:cfIcon iconSet="3Flags" iconId="1"/>
              <x14:cfIcon iconSet="3Signs" iconId="0"/>
            </x14:iconSet>
          </x14:cfRule>
          <xm:sqref>BO51:CT51</xm:sqref>
        </x14:conditionalFormatting>
        <x14:conditionalFormatting xmlns:xm="http://schemas.microsoft.com/office/excel/2006/main">
          <x14:cfRule type="iconSet" priority="575" id="{291FF0C4-9F84-4B7E-8CBB-A9F8CD770340}">
            <x14:iconSet iconSet="3Stars" showValue="0" custom="1">
              <x14:cfvo type="percent">
                <xm:f>0</xm:f>
              </x14:cfvo>
              <x14:cfvo type="num">
                <xm:f>1</xm:f>
              </x14:cfvo>
              <x14:cfvo type="num">
                <xm:f>2</xm:f>
              </x14:cfvo>
              <x14:cfIcon iconSet="NoIcons" iconId="0"/>
              <x14:cfIcon iconSet="3Flags" iconId="1"/>
              <x14:cfIcon iconSet="3Signs" iconId="0"/>
            </x14:iconSet>
          </x14:cfRule>
          <xm:sqref>CU51:DB51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39060724-9CA2-4290-8A0C-B53624A594E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3</vt:i4>
      </vt:variant>
    </vt:vector>
  </HeadingPairs>
  <TitlesOfParts>
    <vt:vector size="4" baseType="lpstr">
      <vt:lpstr>Color</vt:lpstr>
      <vt:lpstr>Color!Incremento_de_desplazamiento</vt:lpstr>
      <vt:lpstr>Color!Inicio_del_proyecto</vt:lpstr>
      <vt:lpstr>Color!Títulos_a_imprimir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2025-11-21T21:09:52Z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